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vant\Documents\Lafco Tech\Litre\"/>
    </mc:Choice>
  </mc:AlternateContent>
  <xr:revisionPtr revIDLastSave="0" documentId="13_ncr:1_{0A75F9D5-25B0-4F40-9D85-27654B4975AF}" xr6:coauthVersionLast="47" xr6:coauthVersionMax="47" xr10:uidLastSave="{00000000-0000-0000-0000-000000000000}"/>
  <bookViews>
    <workbookView xWindow="4597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10" i="1"/>
  <c r="C10" i="1"/>
  <c r="C9" i="1"/>
  <c r="C8" i="1"/>
  <c r="E9" i="1"/>
  <c r="E8" i="1"/>
  <c r="C7" i="1"/>
  <c r="D6" i="1"/>
  <c r="C6" i="1"/>
  <c r="E3" i="1"/>
  <c r="E4" i="1"/>
  <c r="E5" i="1"/>
  <c r="E11" i="1"/>
  <c r="E12" i="1"/>
  <c r="E13" i="1"/>
  <c r="E15" i="1"/>
  <c r="E16" i="1"/>
  <c r="E17" i="1"/>
  <c r="E2" i="1"/>
  <c r="D18" i="1"/>
  <c r="E18" i="1" s="1"/>
  <c r="D14" i="1"/>
  <c r="E14" i="1" s="1"/>
  <c r="E10" i="1" l="1"/>
  <c r="E6" i="1"/>
</calcChain>
</file>

<file path=xl/sharedStrings.xml><?xml version="1.0" encoding="utf-8"?>
<sst xmlns="http://schemas.openxmlformats.org/spreadsheetml/2006/main" count="34" uniqueCount="21">
  <si>
    <t>e1</t>
  </si>
  <si>
    <t>e2</t>
  </si>
  <si>
    <t>e3</t>
  </si>
  <si>
    <t>gpt-4</t>
  </si>
  <si>
    <t>gpt-3.5-turbo</t>
  </si>
  <si>
    <t>Technique</t>
  </si>
  <si>
    <t>model name</t>
  </si>
  <si>
    <t>training time</t>
  </si>
  <si>
    <t>evaluation time</t>
  </si>
  <si>
    <t>total time</t>
  </si>
  <si>
    <t>avg</t>
  </si>
  <si>
    <t>fine-tuning</t>
  </si>
  <si>
    <t>fine-tuning esembles</t>
  </si>
  <si>
    <t>ZSL</t>
  </si>
  <si>
    <t>ZSL + CoT</t>
  </si>
  <si>
    <t>gpt-4o-mini</t>
  </si>
  <si>
    <t>all-mpnet-base-v2</t>
  </si>
  <si>
    <t>n/a</t>
  </si>
  <si>
    <t>splade-cocondenser-ensembledistil</t>
  </si>
  <si>
    <t>bert-base-uncased</t>
  </si>
  <si>
    <t>multi-qa-distilbert-cos-v1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</si>
</sst>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11" sqref="E11:E13"/>
    </sheetView>
  </sheetViews>
  <sheetFormatPr defaultRowHeight="14.25" x14ac:dyDescent="0.45"/>
  <cols>
    <col min="1" max="1" width="17.265625" style="1" bestFit="1" customWidth="1"/>
    <col min="2" max="2" width="31.265625" style="1" bestFit="1" customWidth="1"/>
    <col min="3" max="3" width="11.53125" style="1" bestFit="1" customWidth="1"/>
    <col min="4" max="4" width="14.06640625" style="1" bestFit="1" customWidth="1"/>
    <col min="5" max="5" width="8.53125" style="1" bestFit="1" customWidth="1"/>
    <col min="6" max="16384" width="9.06640625" style="1"/>
  </cols>
  <sheetData>
    <row r="1" spans="1:5" x14ac:dyDescent="0.4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45">
      <c r="A2" s="2" t="s">
        <v>11</v>
      </c>
      <c r="B2" s="1" t="s">
        <v>16</v>
      </c>
      <c r="C2" s="3">
        <v>1525.6595</v>
      </c>
      <c r="D2" s="3">
        <v>17.286899999999999</v>
      </c>
      <c r="E2" s="3">
        <f>SUM(,C2:D2)</f>
        <v>1542.9464</v>
      </c>
    </row>
    <row r="3" spans="1:5" x14ac:dyDescent="0.45">
      <c r="A3" s="2"/>
      <c r="B3" s="1" t="s">
        <v>18</v>
      </c>
      <c r="C3" s="3">
        <v>2517.3000000000002</v>
      </c>
      <c r="D3" s="3">
        <v>13.558299999999999</v>
      </c>
      <c r="E3" s="3">
        <f t="shared" ref="E3:E18" si="0">SUM(,C3:D3)</f>
        <v>2530.8583000000003</v>
      </c>
    </row>
    <row r="4" spans="1:5" x14ac:dyDescent="0.45">
      <c r="A4" s="2"/>
      <c r="B4" s="1" t="s">
        <v>19</v>
      </c>
      <c r="C4" s="3">
        <v>1513.2449999999999</v>
      </c>
      <c r="D4" s="3">
        <v>14.05527</v>
      </c>
      <c r="E4" s="3">
        <f t="shared" si="0"/>
        <v>1527.30027</v>
      </c>
    </row>
    <row r="5" spans="1:5" x14ac:dyDescent="0.45">
      <c r="A5" s="2"/>
      <c r="B5" s="1" t="s">
        <v>20</v>
      </c>
      <c r="C5" s="3">
        <v>1225.2176999999999</v>
      </c>
      <c r="D5" s="3">
        <v>8.0463299999999993</v>
      </c>
      <c r="E5" s="3">
        <f t="shared" si="0"/>
        <v>1233.2640299999998</v>
      </c>
    </row>
    <row r="6" spans="1:5" x14ac:dyDescent="0.45">
      <c r="A6" s="2"/>
      <c r="B6" s="1" t="s">
        <v>10</v>
      </c>
      <c r="C6" s="3">
        <f>AVERAGE(C2:C5)</f>
        <v>1695.35555</v>
      </c>
      <c r="D6" s="3">
        <f>AVERAGE(D2:D5)</f>
        <v>13.236699999999999</v>
      </c>
      <c r="E6" s="3">
        <f t="shared" si="0"/>
        <v>1708.5922499999999</v>
      </c>
    </row>
    <row r="7" spans="1:5" x14ac:dyDescent="0.45">
      <c r="A7" s="2" t="s">
        <v>12</v>
      </c>
      <c r="B7" s="1" t="s">
        <v>0</v>
      </c>
      <c r="C7" s="3">
        <f>SUM(C2:C4)</f>
        <v>5556.2044999999998</v>
      </c>
      <c r="D7" s="3">
        <v>49.726190000000003</v>
      </c>
      <c r="E7" s="3">
        <f>SUM(C7:D7)</f>
        <v>5605.9306900000001</v>
      </c>
    </row>
    <row r="8" spans="1:5" x14ac:dyDescent="0.45">
      <c r="A8" s="2"/>
      <c r="B8" s="1" t="s">
        <v>1</v>
      </c>
      <c r="C8" s="3">
        <f>SUM(C3:C5)</f>
        <v>5255.7627000000002</v>
      </c>
      <c r="D8" s="3">
        <v>40.464700000000001</v>
      </c>
      <c r="E8" s="3">
        <f t="shared" si="0"/>
        <v>5296.2274000000007</v>
      </c>
    </row>
    <row r="9" spans="1:5" x14ac:dyDescent="0.45">
      <c r="A9" s="2"/>
      <c r="B9" s="1" t="s">
        <v>2</v>
      </c>
      <c r="C9" s="3">
        <f>SUM(C2:C5)</f>
        <v>6781.4222</v>
      </c>
      <c r="D9" s="3">
        <v>73.171769999999995</v>
      </c>
      <c r="E9" s="3">
        <f t="shared" si="0"/>
        <v>6854.5939699999999</v>
      </c>
    </row>
    <row r="10" spans="1:5" x14ac:dyDescent="0.45">
      <c r="A10" s="2"/>
      <c r="B10" s="1" t="s">
        <v>10</v>
      </c>
      <c r="C10" s="3">
        <f>AVERAGE(C7:C9)</f>
        <v>5864.4631333333336</v>
      </c>
      <c r="D10" s="3">
        <f>AVERAGE(D7:D9)</f>
        <v>54.454219999999999</v>
      </c>
      <c r="E10" s="3">
        <f t="shared" si="0"/>
        <v>5918.9173533333333</v>
      </c>
    </row>
    <row r="11" spans="1:5" x14ac:dyDescent="0.45">
      <c r="A11" s="2" t="s">
        <v>13</v>
      </c>
      <c r="B11" s="1" t="s">
        <v>3</v>
      </c>
      <c r="C11" s="3" t="s">
        <v>17</v>
      </c>
      <c r="D11" s="3">
        <v>25.648599999999998</v>
      </c>
      <c r="E11" s="3">
        <f t="shared" si="0"/>
        <v>25.648599999999998</v>
      </c>
    </row>
    <row r="12" spans="1:5" x14ac:dyDescent="0.45">
      <c r="A12" s="2"/>
      <c r="B12" s="1" t="s">
        <v>4</v>
      </c>
      <c r="C12" s="3" t="s">
        <v>17</v>
      </c>
      <c r="D12" s="3">
        <v>24.51981</v>
      </c>
      <c r="E12" s="3">
        <f t="shared" si="0"/>
        <v>24.51981</v>
      </c>
    </row>
    <row r="13" spans="1:5" x14ac:dyDescent="0.45">
      <c r="A13" s="2"/>
      <c r="B13" s="1" t="s">
        <v>15</v>
      </c>
      <c r="C13" s="3" t="s">
        <v>17</v>
      </c>
      <c r="D13" s="3">
        <v>24.095400000000001</v>
      </c>
      <c r="E13" s="3">
        <f t="shared" si="0"/>
        <v>24.095400000000001</v>
      </c>
    </row>
    <row r="14" spans="1:5" x14ac:dyDescent="0.45">
      <c r="A14" s="2"/>
      <c r="B14" s="1" t="s">
        <v>10</v>
      </c>
      <c r="C14" s="3" t="s">
        <v>17</v>
      </c>
      <c r="D14" s="3">
        <f>AVERAGE(D11:D13)</f>
        <v>24.754603333333332</v>
      </c>
      <c r="E14" s="3">
        <f t="shared" si="0"/>
        <v>24.754603333333332</v>
      </c>
    </row>
    <row r="15" spans="1:5" x14ac:dyDescent="0.45">
      <c r="A15" s="2" t="s">
        <v>14</v>
      </c>
      <c r="B15" s="1" t="s">
        <v>3</v>
      </c>
      <c r="C15" s="3" t="s">
        <v>17</v>
      </c>
      <c r="D15" s="3">
        <v>74.297300000000007</v>
      </c>
      <c r="E15" s="3">
        <f t="shared" si="0"/>
        <v>74.297300000000007</v>
      </c>
    </row>
    <row r="16" spans="1:5" x14ac:dyDescent="0.45">
      <c r="A16" s="2"/>
      <c r="B16" s="1" t="s">
        <v>4</v>
      </c>
      <c r="C16" s="3" t="s">
        <v>17</v>
      </c>
      <c r="D16" s="3">
        <v>44.417999999999999</v>
      </c>
      <c r="E16" s="3">
        <f t="shared" si="0"/>
        <v>44.417999999999999</v>
      </c>
    </row>
    <row r="17" spans="1:5" x14ac:dyDescent="0.45">
      <c r="A17" s="2"/>
      <c r="B17" s="1" t="s">
        <v>15</v>
      </c>
      <c r="C17" s="3" t="s">
        <v>17</v>
      </c>
      <c r="D17" s="3">
        <v>74.328000000000003</v>
      </c>
      <c r="E17" s="3">
        <f t="shared" si="0"/>
        <v>74.328000000000003</v>
      </c>
    </row>
    <row r="18" spans="1:5" x14ac:dyDescent="0.45">
      <c r="A18" s="2"/>
      <c r="B18" s="1" t="s">
        <v>10</v>
      </c>
      <c r="C18" s="3" t="s">
        <v>17</v>
      </c>
      <c r="D18" s="3">
        <f>AVERAGE(D15:D17)</f>
        <v>64.347766666666672</v>
      </c>
      <c r="E18" s="3">
        <f t="shared" si="0"/>
        <v>64.347766666666672</v>
      </c>
    </row>
  </sheetData>
  <mergeCells count="4">
    <mergeCell ref="A2:A6"/>
    <mergeCell ref="A7:A10"/>
    <mergeCell ref="A11:A14"/>
    <mergeCell ref="A15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Terzic</dc:creator>
  <cp:lastModifiedBy>Ivan Terzić</cp:lastModifiedBy>
  <dcterms:created xsi:type="dcterms:W3CDTF">2015-06-05T18:17:20Z</dcterms:created>
  <dcterms:modified xsi:type="dcterms:W3CDTF">2025-02-19T13:26:51Z</dcterms:modified>
</cp:coreProperties>
</file>