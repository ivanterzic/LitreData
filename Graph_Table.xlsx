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vant\Documents\Lafco Tech\Litre\"/>
    </mc:Choice>
  </mc:AlternateContent>
  <xr:revisionPtr revIDLastSave="0" documentId="13_ncr:1_{ABCA4F22-A537-4545-81C1-2F13EC485F5B}" xr6:coauthVersionLast="47" xr6:coauthVersionMax="47" xr10:uidLastSave="{00000000-0000-0000-0000-000000000000}"/>
  <bookViews>
    <workbookView xWindow="-98" yWindow="-98" windowWidth="23236" windowHeight="13875" activeTab="6" xr2:uid="{00000000-000D-0000-FFFF-FFFF00000000}"/>
  </bookViews>
  <sheets>
    <sheet name="auc_hr" sheetId="17" r:id="rId1"/>
    <sheet name="legenda_hr" sheetId="16" r:id="rId2"/>
    <sheet name="acc_hr" sheetId="15" r:id="rId3"/>
    <sheet name="acc" sheetId="7" r:id="rId4"/>
    <sheet name="auc2" sheetId="12" r:id="rId5"/>
    <sheet name="precision2" sheetId="13" r:id="rId6"/>
    <sheet name="recall2" sheetId="14" r:id="rId7"/>
    <sheet name="auc" sheetId="8" r:id="rId8"/>
    <sheet name="precision" sheetId="9" r:id="rId9"/>
    <sheet name="recall" sheetId="10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7" l="1"/>
  <c r="M17" i="17"/>
  <c r="L17" i="17"/>
  <c r="I17" i="17"/>
  <c r="H17" i="17"/>
  <c r="G17" i="17"/>
  <c r="F17" i="17"/>
  <c r="E17" i="17"/>
  <c r="I16" i="17"/>
  <c r="I15" i="17"/>
  <c r="I14" i="17"/>
  <c r="N13" i="17"/>
  <c r="M13" i="17"/>
  <c r="L13" i="17"/>
  <c r="I13" i="17"/>
  <c r="H13" i="17"/>
  <c r="G13" i="17"/>
  <c r="F13" i="17"/>
  <c r="E13" i="17"/>
  <c r="I12" i="17"/>
  <c r="I11" i="17"/>
  <c r="I10" i="17"/>
  <c r="N9" i="17"/>
  <c r="M9" i="17"/>
  <c r="L9" i="17"/>
  <c r="I9" i="17"/>
  <c r="H9" i="17"/>
  <c r="G9" i="17"/>
  <c r="F9" i="17"/>
  <c r="E9" i="17"/>
  <c r="I8" i="17"/>
  <c r="I7" i="17"/>
  <c r="I6" i="17"/>
  <c r="N5" i="17"/>
  <c r="M5" i="17"/>
  <c r="L5" i="17"/>
  <c r="I5" i="17"/>
  <c r="H5" i="17"/>
  <c r="G5" i="17"/>
  <c r="F5" i="17"/>
  <c r="E5" i="17"/>
  <c r="I4" i="17"/>
  <c r="I3" i="17"/>
  <c r="I2" i="17"/>
  <c r="I11" i="16"/>
  <c r="H11" i="16"/>
  <c r="G11" i="16"/>
  <c r="F11" i="16"/>
  <c r="E11" i="16"/>
  <c r="I10" i="16"/>
  <c r="I9" i="16"/>
  <c r="I8" i="16"/>
  <c r="I7" i="16"/>
  <c r="H7" i="16"/>
  <c r="G7" i="16"/>
  <c r="F7" i="16"/>
  <c r="E7" i="16"/>
  <c r="I6" i="16"/>
  <c r="I5" i="16"/>
  <c r="I4" i="16"/>
  <c r="I3" i="16"/>
  <c r="I2" i="16"/>
  <c r="N17" i="15"/>
  <c r="M17" i="15"/>
  <c r="L17" i="15"/>
  <c r="I17" i="15"/>
  <c r="H17" i="15"/>
  <c r="G17" i="15"/>
  <c r="F17" i="15"/>
  <c r="E17" i="15"/>
  <c r="I16" i="15"/>
  <c r="I15" i="15"/>
  <c r="I14" i="15"/>
  <c r="N13" i="15"/>
  <c r="M13" i="15"/>
  <c r="L13" i="15"/>
  <c r="I13" i="15"/>
  <c r="H13" i="15"/>
  <c r="G13" i="15"/>
  <c r="F13" i="15"/>
  <c r="E13" i="15"/>
  <c r="I12" i="15"/>
  <c r="I11" i="15"/>
  <c r="I10" i="15"/>
  <c r="N9" i="15"/>
  <c r="M9" i="15"/>
  <c r="L9" i="15"/>
  <c r="I9" i="15"/>
  <c r="H9" i="15"/>
  <c r="G9" i="15"/>
  <c r="F9" i="15"/>
  <c r="E9" i="15"/>
  <c r="I8" i="15"/>
  <c r="I7" i="15"/>
  <c r="I6" i="15"/>
  <c r="N5" i="15"/>
  <c r="M5" i="15"/>
  <c r="L5" i="15"/>
  <c r="I5" i="15"/>
  <c r="H5" i="15"/>
  <c r="G5" i="15"/>
  <c r="F5" i="15"/>
  <c r="E5" i="15"/>
  <c r="I4" i="15"/>
  <c r="I3" i="15"/>
  <c r="I2" i="15"/>
  <c r="E17" i="14"/>
  <c r="E13" i="14"/>
  <c r="E9" i="14"/>
  <c r="E5" i="14"/>
  <c r="N17" i="14"/>
  <c r="M17" i="14"/>
  <c r="L17" i="14"/>
  <c r="I17" i="14"/>
  <c r="H17" i="14"/>
  <c r="G17" i="14"/>
  <c r="F17" i="14"/>
  <c r="I16" i="14"/>
  <c r="I15" i="14"/>
  <c r="I14" i="14"/>
  <c r="N13" i="14"/>
  <c r="M13" i="14"/>
  <c r="L13" i="14"/>
  <c r="I13" i="14"/>
  <c r="H13" i="14"/>
  <c r="G13" i="14"/>
  <c r="F13" i="14"/>
  <c r="I12" i="14"/>
  <c r="I11" i="14"/>
  <c r="I10" i="14"/>
  <c r="N9" i="14"/>
  <c r="M9" i="14"/>
  <c r="L9" i="14"/>
  <c r="I9" i="14"/>
  <c r="H9" i="14"/>
  <c r="G9" i="14"/>
  <c r="F9" i="14"/>
  <c r="I8" i="14"/>
  <c r="I7" i="14"/>
  <c r="I6" i="14"/>
  <c r="N5" i="14"/>
  <c r="M5" i="14"/>
  <c r="L5" i="14"/>
  <c r="I5" i="14"/>
  <c r="H5" i="14"/>
  <c r="G5" i="14"/>
  <c r="F5" i="14"/>
  <c r="I4" i="14"/>
  <c r="I3" i="14"/>
  <c r="I2" i="14"/>
  <c r="E17" i="13"/>
  <c r="E13" i="13"/>
  <c r="E9" i="13"/>
  <c r="E5" i="13"/>
  <c r="N17" i="13"/>
  <c r="M17" i="13"/>
  <c r="L17" i="13"/>
  <c r="I17" i="13"/>
  <c r="H17" i="13"/>
  <c r="G17" i="13"/>
  <c r="F17" i="13"/>
  <c r="I16" i="13"/>
  <c r="I15" i="13"/>
  <c r="I14" i="13"/>
  <c r="N13" i="13"/>
  <c r="M13" i="13"/>
  <c r="L13" i="13"/>
  <c r="I13" i="13"/>
  <c r="H13" i="13"/>
  <c r="G13" i="13"/>
  <c r="F13" i="13"/>
  <c r="I12" i="13"/>
  <c r="I11" i="13"/>
  <c r="I10" i="13"/>
  <c r="N9" i="13"/>
  <c r="M9" i="13"/>
  <c r="L9" i="13"/>
  <c r="I9" i="13"/>
  <c r="H9" i="13"/>
  <c r="G9" i="13"/>
  <c r="F9" i="13"/>
  <c r="I8" i="13"/>
  <c r="I7" i="13"/>
  <c r="I6" i="13"/>
  <c r="N5" i="13"/>
  <c r="M5" i="13"/>
  <c r="L5" i="13"/>
  <c r="I5" i="13"/>
  <c r="H5" i="13"/>
  <c r="G5" i="13"/>
  <c r="F5" i="13"/>
  <c r="I4" i="13"/>
  <c r="I3" i="13"/>
  <c r="I2" i="13"/>
  <c r="E17" i="12"/>
  <c r="E13" i="12"/>
  <c r="E9" i="12"/>
  <c r="E5" i="12"/>
  <c r="N17" i="12"/>
  <c r="M17" i="12"/>
  <c r="L17" i="12"/>
  <c r="I17" i="12"/>
  <c r="H17" i="12"/>
  <c r="G17" i="12"/>
  <c r="F17" i="12"/>
  <c r="I16" i="12"/>
  <c r="I15" i="12"/>
  <c r="I14" i="12"/>
  <c r="N13" i="12"/>
  <c r="M13" i="12"/>
  <c r="L13" i="12"/>
  <c r="I13" i="12"/>
  <c r="H13" i="12"/>
  <c r="G13" i="12"/>
  <c r="F13" i="12"/>
  <c r="I12" i="12"/>
  <c r="I11" i="12"/>
  <c r="I10" i="12"/>
  <c r="N9" i="12"/>
  <c r="M9" i="12"/>
  <c r="L9" i="12"/>
  <c r="I9" i="12"/>
  <c r="H9" i="12"/>
  <c r="G9" i="12"/>
  <c r="F9" i="12"/>
  <c r="I8" i="12"/>
  <c r="I7" i="12"/>
  <c r="I6" i="12"/>
  <c r="N5" i="12"/>
  <c r="M5" i="12"/>
  <c r="L5" i="12"/>
  <c r="I5" i="12"/>
  <c r="H5" i="12"/>
  <c r="G5" i="12"/>
  <c r="F5" i="12"/>
  <c r="I4" i="12"/>
  <c r="I3" i="12"/>
  <c r="I2" i="12"/>
  <c r="I11" i="11"/>
  <c r="H11" i="11"/>
  <c r="G11" i="11"/>
  <c r="F11" i="11"/>
  <c r="E11" i="11"/>
  <c r="I10" i="11"/>
  <c r="I9" i="11"/>
  <c r="I8" i="11"/>
  <c r="I7" i="11"/>
  <c r="H7" i="11"/>
  <c r="G7" i="11"/>
  <c r="F7" i="11"/>
  <c r="E7" i="11"/>
  <c r="I6" i="11"/>
  <c r="I5" i="11"/>
  <c r="I4" i="11"/>
  <c r="I3" i="11"/>
  <c r="I2" i="11"/>
  <c r="E17" i="10" l="1"/>
  <c r="E13" i="10"/>
  <c r="E9" i="10"/>
  <c r="E5" i="10"/>
  <c r="N17" i="10"/>
  <c r="M17" i="10"/>
  <c r="L17" i="10"/>
  <c r="I17" i="10"/>
  <c r="H17" i="10"/>
  <c r="G17" i="10"/>
  <c r="F17" i="10"/>
  <c r="I16" i="10"/>
  <c r="I15" i="10"/>
  <c r="I14" i="10"/>
  <c r="N13" i="10"/>
  <c r="M13" i="10"/>
  <c r="L13" i="10"/>
  <c r="I13" i="10"/>
  <c r="H13" i="10"/>
  <c r="G13" i="10"/>
  <c r="F13" i="10"/>
  <c r="I12" i="10"/>
  <c r="I11" i="10"/>
  <c r="I10" i="10"/>
  <c r="N9" i="10"/>
  <c r="M9" i="10"/>
  <c r="L9" i="10"/>
  <c r="I9" i="10"/>
  <c r="H9" i="10"/>
  <c r="G9" i="10"/>
  <c r="F9" i="10"/>
  <c r="I8" i="10"/>
  <c r="I7" i="10"/>
  <c r="I6" i="10"/>
  <c r="N5" i="10"/>
  <c r="M5" i="10"/>
  <c r="L5" i="10"/>
  <c r="I5" i="10"/>
  <c r="H5" i="10"/>
  <c r="G5" i="10"/>
  <c r="F5" i="10"/>
  <c r="I4" i="10"/>
  <c r="I3" i="10"/>
  <c r="I2" i="10"/>
  <c r="E17" i="9"/>
  <c r="E13" i="9"/>
  <c r="E9" i="9"/>
  <c r="E5" i="9"/>
  <c r="N17" i="9"/>
  <c r="M17" i="9"/>
  <c r="L17" i="9"/>
  <c r="I17" i="9"/>
  <c r="H17" i="9"/>
  <c r="G17" i="9"/>
  <c r="F17" i="9"/>
  <c r="I16" i="9"/>
  <c r="I15" i="9"/>
  <c r="I14" i="9"/>
  <c r="N13" i="9"/>
  <c r="M13" i="9"/>
  <c r="L13" i="9"/>
  <c r="I13" i="9"/>
  <c r="H13" i="9"/>
  <c r="G13" i="9"/>
  <c r="F13" i="9"/>
  <c r="I12" i="9"/>
  <c r="I11" i="9"/>
  <c r="I10" i="9"/>
  <c r="N9" i="9"/>
  <c r="M9" i="9"/>
  <c r="L9" i="9"/>
  <c r="I9" i="9"/>
  <c r="H9" i="9"/>
  <c r="G9" i="9"/>
  <c r="F9" i="9"/>
  <c r="I8" i="9"/>
  <c r="I7" i="9"/>
  <c r="I6" i="9"/>
  <c r="N5" i="9"/>
  <c r="M5" i="9"/>
  <c r="L5" i="9"/>
  <c r="I5" i="9"/>
  <c r="H5" i="9"/>
  <c r="G5" i="9"/>
  <c r="F5" i="9"/>
  <c r="I4" i="9"/>
  <c r="I3" i="9"/>
  <c r="I2" i="9"/>
  <c r="E17" i="8"/>
  <c r="E13" i="8"/>
  <c r="E9" i="8"/>
  <c r="E5" i="8"/>
  <c r="N17" i="8"/>
  <c r="M17" i="8"/>
  <c r="L17" i="8"/>
  <c r="I17" i="8"/>
  <c r="H17" i="8"/>
  <c r="G17" i="8"/>
  <c r="F17" i="8"/>
  <c r="I16" i="8"/>
  <c r="I15" i="8"/>
  <c r="I14" i="8"/>
  <c r="N13" i="8"/>
  <c r="M13" i="8"/>
  <c r="L13" i="8"/>
  <c r="I13" i="8"/>
  <c r="H13" i="8"/>
  <c r="G13" i="8"/>
  <c r="F13" i="8"/>
  <c r="I12" i="8"/>
  <c r="I11" i="8"/>
  <c r="I10" i="8"/>
  <c r="N9" i="8"/>
  <c r="M9" i="8"/>
  <c r="L9" i="8"/>
  <c r="I9" i="8"/>
  <c r="H9" i="8"/>
  <c r="G9" i="8"/>
  <c r="F9" i="8"/>
  <c r="I8" i="8"/>
  <c r="I7" i="8"/>
  <c r="I6" i="8"/>
  <c r="N5" i="8"/>
  <c r="M5" i="8"/>
  <c r="L5" i="8"/>
  <c r="I5" i="8"/>
  <c r="H5" i="8"/>
  <c r="G5" i="8"/>
  <c r="F5" i="8"/>
  <c r="I4" i="8"/>
  <c r="I3" i="8"/>
  <c r="I2" i="8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N17" i="7"/>
  <c r="M17" i="7"/>
  <c r="L17" i="7"/>
  <c r="N13" i="7"/>
  <c r="M13" i="7"/>
  <c r="L13" i="7"/>
  <c r="N9" i="7"/>
  <c r="M9" i="7"/>
  <c r="L9" i="7"/>
  <c r="N5" i="7"/>
  <c r="M5" i="7"/>
  <c r="L5" i="7"/>
  <c r="H17" i="7"/>
  <c r="G17" i="7"/>
  <c r="F17" i="7"/>
  <c r="E17" i="7"/>
  <c r="H13" i="7"/>
  <c r="G13" i="7"/>
  <c r="F13" i="7"/>
  <c r="E13" i="7"/>
  <c r="H9" i="7"/>
  <c r="G9" i="7"/>
  <c r="F9" i="7"/>
  <c r="E9" i="7"/>
  <c r="H5" i="7"/>
  <c r="G5" i="7"/>
  <c r="F5" i="7"/>
  <c r="E5" i="7"/>
</calcChain>
</file>

<file path=xl/sharedStrings.xml><?xml version="1.0" encoding="utf-8"?>
<sst xmlns="http://schemas.openxmlformats.org/spreadsheetml/2006/main" count="302" uniqueCount="36">
  <si>
    <t>Technique</t>
  </si>
  <si>
    <t>model name</t>
  </si>
  <si>
    <t>total time</t>
  </si>
  <si>
    <t>fine-tuning</t>
  </si>
  <si>
    <t>all-mpnet-base-v2</t>
  </si>
  <si>
    <t>splade-cocondenser-ensembledistil</t>
  </si>
  <si>
    <t>bert-base-uncased</t>
  </si>
  <si>
    <t>fine-tuning esembles</t>
  </si>
  <si>
    <t>ZSL</t>
  </si>
  <si>
    <t>ZSL + CoT</t>
  </si>
  <si>
    <t>accuracy</t>
  </si>
  <si>
    <t>auc</t>
  </si>
  <si>
    <t>precision</t>
  </si>
  <si>
    <t>recall</t>
  </si>
  <si>
    <t>ZSL average</t>
  </si>
  <si>
    <t>ZSL + CoT average</t>
  </si>
  <si>
    <t>Ensemble 1</t>
  </si>
  <si>
    <t>Ensemble 2</t>
  </si>
  <si>
    <t>Ensemble 3</t>
  </si>
  <si>
    <t>Fine-tuning average</t>
  </si>
  <si>
    <t>Ensemble average</t>
  </si>
  <si>
    <t>gpt-4 (ZSL)</t>
  </si>
  <si>
    <t>gpt-3.5-turbo (ZSL)</t>
  </si>
  <si>
    <t>gpt-4o-mini (ZSL)</t>
  </si>
  <si>
    <t>gpt-4 (ZSL + CoT)</t>
  </si>
  <si>
    <t>gpt-3.5-turbo (ZSL + CoT)</t>
  </si>
  <si>
    <t>gpt-4o-mini (ZSL + CoT)</t>
  </si>
  <si>
    <t>Fine-tuned models</t>
  </si>
  <si>
    <t>Fine-tuned ensembles</t>
  </si>
  <si>
    <t>AUC</t>
  </si>
  <si>
    <t>Zero-shot learning</t>
  </si>
  <si>
    <t>Zero-shot learning and chain-of-thought</t>
  </si>
  <si>
    <t>Dodatno treniranje</t>
  </si>
  <si>
    <t>Ansambli</t>
  </si>
  <si>
    <t>Učenje bez primjera</t>
  </si>
  <si>
    <t>Učenje bez primjera + tehnika lanca misli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</si>
</sst>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737260141257821E-2"/>
          <c:y val="3.007640526459809E-2"/>
          <c:w val="0.76489888363916847"/>
          <c:h val="0.84183018693659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D-4BA8-B762-D50A7E674334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0D-4BA8-B762-D50A7E674334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0D-4BA8-B762-D50A7E674334}"/>
            </c:ext>
          </c:extLst>
        </c:ser>
        <c:ser>
          <c:idx val="3"/>
          <c:order val="3"/>
          <c:tx>
            <c:strRef>
              <c:f>auc_hr!$I$1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A0D-4BA8-B762-D50A7E67433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A0D-4BA8-B762-D50A7E67433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A0D-4BA8-B762-D50A7E67433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A0D-4BA8-B762-D50A7E67433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A0D-4BA8-B762-D50A7E674334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A0D-4BA8-B762-D50A7E67433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A0D-4BA8-B762-D50A7E674334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A0D-4BA8-B762-D50A7E674334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A0D-4BA8-B762-D50A7E674334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A0D-4BA8-B762-D50A7E674334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A0D-4BA8-B762-D50A7E674334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A0D-4BA8-B762-D50A7E674334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A0D-4BA8-B762-D50A7E674334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A0D-4BA8-B762-D50A7E674334}"/>
              </c:ext>
            </c:extLst>
          </c:dPt>
          <c:dLbls>
            <c:dLbl>
              <c:idx val="0"/>
              <c:layout>
                <c:manualLayout>
                  <c:x val="-0.16178233109573514"/>
                  <c:y val="6.9766160204864772E-2"/>
                </c:manualLayout>
              </c:layout>
              <c:tx>
                <c:rich>
                  <a:bodyPr/>
                  <a:lstStyle/>
                  <a:p>
                    <a:fld id="{DD554F75-F806-4C9B-931D-ECB05EB10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A0D-4BA8-B762-D50A7E674334}"/>
                </c:ext>
              </c:extLst>
            </c:dLbl>
            <c:dLbl>
              <c:idx val="1"/>
              <c:layout>
                <c:manualLayout>
                  <c:x val="-0.1531463327467899"/>
                  <c:y val="-7.92715553222278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EB46604-209C-41FE-978D-8027D62CD9CE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D-4BA8-B762-D50A7E674334}"/>
                </c:ext>
              </c:extLst>
            </c:dLbl>
            <c:dLbl>
              <c:idx val="2"/>
              <c:layout>
                <c:manualLayout>
                  <c:x val="-7.9712562050637346E-3"/>
                  <c:y val="5.4845735625415441E-2"/>
                </c:manualLayout>
              </c:layout>
              <c:tx>
                <c:rich>
                  <a:bodyPr/>
                  <a:lstStyle/>
                  <a:p>
                    <a:fld id="{85A45CCC-FD35-4917-B675-991566F5D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D-4BA8-B762-D50A7E674334}"/>
                </c:ext>
              </c:extLst>
            </c:dLbl>
            <c:dLbl>
              <c:idx val="3"/>
              <c:layout>
                <c:manualLayout>
                  <c:x val="-0.20611511226560492"/>
                  <c:y val="-8.9140720463761453E-2"/>
                </c:manualLayout>
              </c:layout>
              <c:tx>
                <c:rich>
                  <a:bodyPr/>
                  <a:lstStyle/>
                  <a:p>
                    <a:fld id="{B926B1FC-5D10-44E8-B0F5-C536EBAEA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D-4BA8-B762-D50A7E674334}"/>
                </c:ext>
              </c:extLst>
            </c:dLbl>
            <c:dLbl>
              <c:idx val="4"/>
              <c:layout>
                <c:manualLayout>
                  <c:x val="-8.4289954016265475E-2"/>
                  <c:y val="2.4755734266242339E-2"/>
                </c:manualLayout>
              </c:layout>
              <c:tx>
                <c:rich>
                  <a:bodyPr/>
                  <a:lstStyle/>
                  <a:p>
                    <a:fld id="{A99E24B0-E93C-49AD-80AC-D2CA0EF961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A0D-4BA8-B762-D50A7E67433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C75FFE-CC7C-4BA8-B5E0-756BE7297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A0D-4BA8-B762-D50A7E67433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0C33E01-4E6E-4A71-A1BD-2D627A9D55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A0D-4BA8-B762-D50A7E674334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1318DC37-79ED-4463-A06B-1C9C7A9DB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A0D-4BA8-B762-D50A7E674334}"/>
                </c:ext>
              </c:extLst>
            </c:dLbl>
            <c:dLbl>
              <c:idx val="8"/>
              <c:layout>
                <c:manualLayout>
                  <c:x val="4.3184421048251799E-2"/>
                  <c:y val="-0.10016493649204017"/>
                </c:manualLayout>
              </c:layout>
              <c:tx>
                <c:rich>
                  <a:bodyPr/>
                  <a:lstStyle/>
                  <a:p>
                    <a:fld id="{5966E17D-A32B-4A4F-8F83-6D7EE03960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D-4BA8-B762-D50A7E674334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20A61232-99BD-44BA-9781-33E9A6587B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A0D-4BA8-B762-D50A7E674334}"/>
                </c:ext>
              </c:extLst>
            </c:dLbl>
            <c:dLbl>
              <c:idx val="10"/>
              <c:layout>
                <c:manualLayout>
                  <c:x val="-2.5634395167428343E-2"/>
                  <c:y val="-0.25763672896424539"/>
                </c:manualLayout>
              </c:layout>
              <c:tx>
                <c:rich>
                  <a:bodyPr/>
                  <a:lstStyle/>
                  <a:p>
                    <a:fld id="{6AB8EC69-52F4-4FC9-8635-4B6C51D4FA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A0D-4BA8-B762-D50A7E674334}"/>
                </c:ext>
              </c:extLst>
            </c:dLbl>
            <c:dLbl>
              <c:idx val="11"/>
              <c:layout>
                <c:manualLayout>
                  <c:x val="7.7302569168020193E-3"/>
                  <c:y val="-9.9828076467860669E-2"/>
                </c:manualLayout>
              </c:layout>
              <c:tx>
                <c:rich>
                  <a:bodyPr/>
                  <a:lstStyle/>
                  <a:p>
                    <a:fld id="{0E766882-A5F9-41B1-A9B3-E3E41B553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A0D-4BA8-B762-D50A7E674334}"/>
                </c:ext>
              </c:extLst>
            </c:dLbl>
            <c:dLbl>
              <c:idx val="12"/>
              <c:layout>
                <c:manualLayout>
                  <c:x val="2.3873732492760362E-2"/>
                  <c:y val="-0.16136095933875078"/>
                </c:manualLayout>
              </c:layout>
              <c:tx>
                <c:rich>
                  <a:bodyPr/>
                  <a:lstStyle/>
                  <a:p>
                    <a:fld id="{888133CA-711A-43EE-AB6F-DCE33C9AD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A0D-4BA8-B762-D50A7E674334}"/>
                </c:ext>
              </c:extLst>
            </c:dLbl>
            <c:dLbl>
              <c:idx val="13"/>
              <c:layout>
                <c:manualLayout>
                  <c:x val="5.3324898319057734E-2"/>
                  <c:y val="-0.20259748508902126"/>
                </c:manualLayout>
              </c:layout>
              <c:tx>
                <c:rich>
                  <a:bodyPr/>
                  <a:lstStyle/>
                  <a:p>
                    <a:fld id="{3F1FA7BE-21D9-4E0C-921B-060DCBC070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A0D-4BA8-B762-D50A7E674334}"/>
                </c:ext>
              </c:extLst>
            </c:dLbl>
            <c:dLbl>
              <c:idx val="14"/>
              <c:layout>
                <c:manualLayout>
                  <c:x val="-2.0889699637404755E-2"/>
                  <c:y val="-0.35595221711486069"/>
                </c:manualLayout>
              </c:layout>
              <c:tx>
                <c:rich>
                  <a:bodyPr/>
                  <a:lstStyle/>
                  <a:p>
                    <a:fld id="{54DCAD85-8891-4A22-8F51-234209922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A0D-4BA8-B762-D50A7E674334}"/>
                </c:ext>
              </c:extLst>
            </c:dLbl>
            <c:dLbl>
              <c:idx val="15"/>
              <c:layout>
                <c:manualLayout>
                  <c:x val="2.8112888737952011E-2"/>
                  <c:y val="-4.478883259263651E-2"/>
                </c:manualLayout>
              </c:layout>
              <c:tx>
                <c:rich>
                  <a:bodyPr/>
                  <a:lstStyle/>
                  <a:p>
                    <a:fld id="{85565F7F-6491-4BF2-B50E-43EBF3163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A0D-4BA8-B762-D50A7E67433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A0D-4BA8-B762-D50A7E67433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A0D-4BA8-B762-D50A7E67433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A0D-4BA8-B762-D50A7E67433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A0D-4BA8-B762-D50A7E67433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A0D-4BA8-B762-D50A7E67433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A0D-4BA8-B762-D50A7E67433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A0D-4BA8-B762-D50A7E67433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A0D-4BA8-B762-D50A7E67433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A0D-4BA8-B762-D50A7E67433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A0D-4BA8-B762-D50A7E67433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A0D-4BA8-B762-D50A7E67433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A0D-4BA8-B762-D50A7E67433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A0D-4BA8-B762-D50A7E67433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A0D-4BA8-B762-D50A7E67433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A0D-4BA8-B762-D50A7E67433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A0D-4BA8-B762-D50A7E67433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A0D-4BA8-B762-D50A7E67433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A0D-4BA8-B762-D50A7E67433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A0D-4BA8-B762-D50A7E67433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A0D-4BA8-B762-D50A7E67433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A0D-4BA8-B762-D50A7E67433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A0D-4BA8-B762-D50A7E67433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A0D-4BA8-B762-D50A7E67433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A0D-4BA8-B762-D50A7E67433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A0D-4BA8-B762-D50A7E67433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A0D-4BA8-B762-D50A7E67433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A0D-4BA8-B762-D50A7E67433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A0D-4BA8-B762-D50A7E67433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A0D-4BA8-B762-D50A7E67433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A0D-4BA8-B762-D50A7E67433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A0D-4BA8-B762-D50A7E67433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A0D-4BA8-B762-D50A7E67433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A0D-4BA8-B762-D50A7E67433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A0D-4BA8-B762-D50A7E67433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3A0D-4BA8-B762-D50A7E67433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3A0D-4BA8-B762-D50A7E6743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auc_hr!$E$2:$E$53</c:f>
              <c:numCache>
                <c:formatCode>0.000</c:formatCode>
                <c:ptCount val="52"/>
                <c:pt idx="0">
                  <c:v>0.92900000000000005</c:v>
                </c:pt>
                <c:pt idx="1">
                  <c:v>0.93500000000000005</c:v>
                </c:pt>
                <c:pt idx="2">
                  <c:v>0.93899999999999995</c:v>
                </c:pt>
                <c:pt idx="3">
                  <c:v>0.93433333333333335</c:v>
                </c:pt>
                <c:pt idx="4">
                  <c:v>0.90200000000000002</c:v>
                </c:pt>
                <c:pt idx="5">
                  <c:v>0.90900000000000003</c:v>
                </c:pt>
                <c:pt idx="6">
                  <c:v>0.90900000000000003</c:v>
                </c:pt>
                <c:pt idx="7">
                  <c:v>0.90666666666666662</c:v>
                </c:pt>
                <c:pt idx="8">
                  <c:v>0.80900000000000005</c:v>
                </c:pt>
                <c:pt idx="9">
                  <c:v>0.73899999999999999</c:v>
                </c:pt>
                <c:pt idx="10">
                  <c:v>0.71399999999999997</c:v>
                </c:pt>
                <c:pt idx="11">
                  <c:v>0.754</c:v>
                </c:pt>
                <c:pt idx="12">
                  <c:v>0.80900000000000005</c:v>
                </c:pt>
                <c:pt idx="13">
                  <c:v>0.76100000000000001</c:v>
                </c:pt>
                <c:pt idx="14">
                  <c:v>0.72499999999999998</c:v>
                </c:pt>
                <c:pt idx="15">
                  <c:v>0.76500000000000001</c:v>
                </c:pt>
              </c:numCache>
            </c:numRef>
          </c:xVal>
          <c:yVal>
            <c:numRef>
              <c:f>auc_hr!$I$2:$I$53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auc_hr!$B$2:$B$17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3A0D-4BA8-B762-D50A7E6743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4000000000000006"/>
          <c:min val="0.710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AUC</a:t>
                </a:r>
                <a:r>
                  <a:rPr lang="hr-HR" sz="1600" baseline="0"/>
                  <a:t> 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Vrijeme</a:t>
                </a:r>
                <a:r>
                  <a:rPr lang="hr-HR" sz="1600"/>
                  <a:t> (min)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26277381065934"/>
          <c:y val="2.7627634595889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86-4B43-B257-408B43F63B57}"/>
            </c:ext>
          </c:extLst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6-4B43-B257-408B43F63B57}"/>
            </c:ext>
          </c:extLst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86-4B43-B257-408B43F63B57}"/>
            </c:ext>
          </c:extLst>
        </c:ser>
        <c:ser>
          <c:idx val="3"/>
          <c:order val="3"/>
          <c:tx>
            <c:strRef>
              <c:f>legenda_hr!$B$3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legenda_hr!$C$3:$F$3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0.90400000000000003</c:v>
                </c:pt>
                <c:pt idx="3" formatCode="0.000">
                  <c:v>0.90200000000000002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86-4B43-B257-408B43F63B57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86-4B43-B257-408B43F63B57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86-4B43-B257-408B43F63B57}"/>
            </c:ext>
          </c:extLst>
        </c:ser>
        <c:ser>
          <c:idx val="6"/>
          <c:order val="6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86-4B43-B257-408B43F63B57}"/>
            </c:ext>
          </c:extLst>
        </c:ser>
        <c:ser>
          <c:idx val="7"/>
          <c:order val="7"/>
          <c:tx>
            <c:strRef>
              <c:f>legenda_hr!$B$4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legenda_hr!$C$4:$F$4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0.88700000000000001</c:v>
                </c:pt>
                <c:pt idx="3" formatCode="0.000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586-4B43-B257-408B43F63B57}"/>
            </c:ext>
          </c:extLst>
        </c:ser>
        <c:ser>
          <c:idx val="8"/>
          <c:order val="8"/>
          <c:tx>
            <c:strRef>
              <c:f>legenda_hr!$B$5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legenda_hr!$C$5:$F$5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0.876</c:v>
                </c:pt>
                <c:pt idx="3" formatCode="0.000">
                  <c:v>0.73899999999999999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86-4B43-B257-408B43F63B57}"/>
            </c:ext>
          </c:extLst>
        </c:ser>
        <c:ser>
          <c:idx val="9"/>
          <c:order val="9"/>
          <c:tx>
            <c:strRef>
              <c:f>legenda_hr!$B$6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legenda_hr!$C$6:$F$6</c:f>
              <c:numCache>
                <c:formatCode>General</c:formatCode>
                <c:ptCount val="4"/>
                <c:pt idx="2" formatCode="0.000">
                  <c:v>0.57899999999999996</c:v>
                </c:pt>
                <c:pt idx="3" formatCode="0.000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586-4B43-B257-408B43F63B57}"/>
            </c:ext>
          </c:extLst>
        </c:ser>
        <c:ser>
          <c:idx val="10"/>
          <c:order val="10"/>
          <c:tx>
            <c:strRef>
              <c:f>legenda_hr!$B$7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legenda_hr!$C$7:$F$7</c:f>
              <c:numCache>
                <c:formatCode>General</c:formatCode>
                <c:ptCount val="4"/>
                <c:pt idx="2" formatCode="0.000">
                  <c:v>0.78066666666666651</c:v>
                </c:pt>
                <c:pt idx="3" formatCode="0.000">
                  <c:v>0.754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586-4B43-B257-408B43F63B57}"/>
            </c:ext>
          </c:extLst>
        </c:ser>
        <c:ser>
          <c:idx val="11"/>
          <c:order val="11"/>
          <c:tx>
            <c:strRef>
              <c:f>legenda_hr!$B$8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legenda_hr!$C$8:$F$8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0.90600000000000003</c:v>
                </c:pt>
                <c:pt idx="3" formatCode="0.000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586-4B43-B257-408B43F63B57}"/>
            </c:ext>
          </c:extLst>
        </c:ser>
        <c:ser>
          <c:idx val="12"/>
          <c:order val="12"/>
          <c:tx>
            <c:strRef>
              <c:f>legenda_hr!$B$9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legenda_hr!$C$9:$F$9</c:f>
              <c:numCache>
                <c:formatCode>General</c:formatCode>
                <c:ptCount val="4"/>
                <c:pt idx="2" formatCode="0.000">
                  <c:v>0.90800000000000003</c:v>
                </c:pt>
                <c:pt idx="3" formatCode="0.000">
                  <c:v>0.76100000000000001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586-4B43-B257-408B43F63B57}"/>
            </c:ext>
          </c:extLst>
        </c:ser>
        <c:ser>
          <c:idx val="13"/>
          <c:order val="13"/>
          <c:tx>
            <c:strRef>
              <c:f>legenda_hr!$B$10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legenda_hr!$C$10:$F$10</c:f>
              <c:numCache>
                <c:formatCode>General</c:formatCode>
                <c:ptCount val="4"/>
                <c:pt idx="2" formatCode="0.000">
                  <c:v>0.60399999999999998</c:v>
                </c:pt>
                <c:pt idx="3" formatCode="0.000">
                  <c:v>0.72499999999999998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586-4B43-B257-408B43F63B57}"/>
            </c:ext>
          </c:extLst>
        </c:ser>
        <c:ser>
          <c:idx val="14"/>
          <c:order val="14"/>
          <c:tx>
            <c:strRef>
              <c:f>legenda_hr!$B$11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legenda_hr!$C$1:$F$2</c:f>
              <c:multiLvlStrCache>
                <c:ptCount val="4"/>
                <c:lvl>
                  <c:pt idx="1">
                    <c:v>Dodatno treniranje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legenda_hr!$C$11:$F$11</c:f>
              <c:numCache>
                <c:formatCode>General</c:formatCode>
                <c:ptCount val="4"/>
                <c:pt idx="2" formatCode="0.000">
                  <c:v>0.80600000000000005</c:v>
                </c:pt>
                <c:pt idx="3" formatCode="0.000">
                  <c:v>0.76500000000000001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586-4B43-B257-408B43F63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078671"/>
        <c:axId val="769062351"/>
      </c:scatterChart>
      <c:valAx>
        <c:axId val="76907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62351"/>
        <c:crosses val="autoZero"/>
        <c:crossBetween val="midCat"/>
      </c:valAx>
      <c:valAx>
        <c:axId val="7690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78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legenda_hr!$A$2:$A$11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8-4616-9EB0-16023F63DD7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legenda_hr!$B$2:$B$11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8-4616-9EB0-16023F63DD75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legenda_hr!$C$2:$C$11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68-4616-9EB0-16023F63D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286239"/>
        <c:axId val="1164294399"/>
      </c:scatterChart>
      <c:valAx>
        <c:axId val="116428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94399"/>
        <c:crosses val="autoZero"/>
        <c:crossBetween val="midCat"/>
      </c:valAx>
      <c:valAx>
        <c:axId val="11642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8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799001122604462E-2"/>
          <c:y val="9.4850987799974099E-2"/>
          <c:w val="0.66990687809021321"/>
          <c:h val="0.47181501436629719"/>
        </c:manualLayout>
      </c:layout>
      <c:scatterChart>
        <c:scatterStyle val="lineMarker"/>
        <c:varyColors val="0"/>
        <c:ser>
          <c:idx val="0"/>
          <c:order val="0"/>
          <c:tx>
            <c:strRef>
              <c:f>legenda_hr!$D$2</c:f>
              <c:strCache>
                <c:ptCount val="1"/>
                <c:pt idx="0">
                  <c:v>Dodatno treniranje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strRef>
              <c:f>legenda_hr!$E$1:$F$1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legenda_hr!$E$2:$F$2</c:f>
              <c:numCache>
                <c:formatCode>0.000</c:formatCode>
                <c:ptCount val="2"/>
                <c:pt idx="0">
                  <c:v>0.93200000000000005</c:v>
                </c:pt>
                <c:pt idx="1">
                  <c:v>0.92900000000000005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EA-402D-8C78-BDD78172348B}"/>
            </c:ext>
          </c:extLst>
        </c:ser>
        <c:ser>
          <c:idx val="1"/>
          <c:order val="1"/>
          <c:tx>
            <c:strRef>
              <c:f>legenda_hr!$D$3</c:f>
              <c:strCache>
                <c:ptCount val="1"/>
                <c:pt idx="0">
                  <c:v>Ansambli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strRef>
              <c:f>legenda_hr!$E$1:$F$1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legenda_hr!$E$3:$F$3</c:f>
              <c:numCache>
                <c:formatCode>0.000</c:formatCode>
                <c:ptCount val="2"/>
                <c:pt idx="0">
                  <c:v>0.90400000000000003</c:v>
                </c:pt>
                <c:pt idx="1">
                  <c:v>0.90200000000000002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EA-402D-8C78-BDD78172348B}"/>
            </c:ext>
          </c:extLst>
        </c:ser>
        <c:ser>
          <c:idx val="2"/>
          <c:order val="2"/>
          <c:tx>
            <c:strRef>
              <c:f>legenda_hr!$D$4</c:f>
              <c:strCache>
                <c:ptCount val="1"/>
                <c:pt idx="0">
                  <c:v>Učenje bez primjera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strRef>
              <c:f>legenda_hr!$E$1:$F$1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legenda_hr!$E$4:$F$4</c:f>
              <c:numCache>
                <c:formatCode>0.000</c:formatCode>
                <c:ptCount val="2"/>
                <c:pt idx="0">
                  <c:v>0.88700000000000001</c:v>
                </c:pt>
                <c:pt idx="1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EA-402D-8C78-BDD78172348B}"/>
            </c:ext>
          </c:extLst>
        </c:ser>
        <c:ser>
          <c:idx val="3"/>
          <c:order val="3"/>
          <c:tx>
            <c:strRef>
              <c:f>legenda_hr!$D$5</c:f>
              <c:strCache>
                <c:ptCount val="1"/>
                <c:pt idx="0">
                  <c:v>Učenje bez primjera + tehnika lanca misli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strRef>
              <c:f>legenda_hr!$E$1:$F$1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legenda_hr!$E$5:$F$5</c:f>
              <c:numCache>
                <c:formatCode>0.000</c:formatCode>
                <c:ptCount val="2"/>
                <c:pt idx="0">
                  <c:v>0.876</c:v>
                </c:pt>
                <c:pt idx="1">
                  <c:v>0.73899999999999999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EA-402D-8C78-BDD78172348B}"/>
            </c:ext>
          </c:extLst>
        </c:ser>
        <c:ser>
          <c:idx val="4"/>
          <c:order val="4"/>
          <c:tx>
            <c:strRef>
              <c:f>legenda_hr!$D$6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legenda_hr!$E$1:$F$1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legenda_hr!$E$6:$F$6</c:f>
              <c:numCache>
                <c:formatCode>0.000</c:formatCode>
                <c:ptCount val="2"/>
                <c:pt idx="0">
                  <c:v>0.57899999999999996</c:v>
                </c:pt>
                <c:pt idx="1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EA-402D-8C78-BDD78172348B}"/>
            </c:ext>
          </c:extLst>
        </c:ser>
        <c:ser>
          <c:idx val="5"/>
          <c:order val="5"/>
          <c:tx>
            <c:strRef>
              <c:f>legenda_hr!$D$7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legenda_hr!$E$1:$F$1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legenda_hr!$E$7:$F$7</c:f>
              <c:numCache>
                <c:formatCode>0.000</c:formatCode>
                <c:ptCount val="2"/>
                <c:pt idx="0">
                  <c:v>0.78066666666666651</c:v>
                </c:pt>
                <c:pt idx="1">
                  <c:v>0.754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EA-402D-8C78-BDD781723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793967"/>
        <c:axId val="1631798767"/>
      </c:scatterChart>
      <c:valAx>
        <c:axId val="163179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98767"/>
        <c:crosses val="autoZero"/>
        <c:crossBetween val="midCat"/>
      </c:valAx>
      <c:valAx>
        <c:axId val="16317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9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7825376059402"/>
          <c:y val="0.40429133409041368"/>
          <c:w val="0.14428906513078335"/>
          <c:h val="0.25786266311134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737260141257821E-2"/>
          <c:y val="3.007640526459809E-2"/>
          <c:w val="0.76489888363916847"/>
          <c:h val="0.84183018693659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9-41B5-A49D-1C481771AFCD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69-41B5-A49D-1C481771AFCD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69-41B5-A49D-1C481771AFCD}"/>
            </c:ext>
          </c:extLst>
        </c:ser>
        <c:ser>
          <c:idx val="3"/>
          <c:order val="3"/>
          <c:tx>
            <c:strRef>
              <c:f>acc_hr!$I$1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869-41B5-A49D-1C481771AFC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869-41B5-A49D-1C481771AFC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869-41B5-A49D-1C481771AFC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869-41B5-A49D-1C481771AFC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869-41B5-A49D-1C481771AFCD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869-41B5-A49D-1C481771AFCD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869-41B5-A49D-1C481771AFC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869-41B5-A49D-1C481771AFCD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869-41B5-A49D-1C481771AFC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869-41B5-A49D-1C481771AFC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869-41B5-A49D-1C481771AFCD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869-41B5-A49D-1C481771AFCD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869-41B5-A49D-1C481771AFCD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869-41B5-A49D-1C481771AFC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87B6319-2640-4D39-BD3C-15515CDD1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869-41B5-A49D-1C481771AFCD}"/>
                </c:ext>
              </c:extLst>
            </c:dLbl>
            <c:dLbl>
              <c:idx val="1"/>
              <c:layout>
                <c:manualLayout>
                  <c:x val="-0.1531463327467899"/>
                  <c:y val="-7.92715553222278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8F1E4E0-F2B6-4133-A361-3D610DB22636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869-41B5-A49D-1C481771AFCD}"/>
                </c:ext>
              </c:extLst>
            </c:dLbl>
            <c:dLbl>
              <c:idx val="2"/>
              <c:layout>
                <c:manualLayout>
                  <c:x val="-8.1385075849476199E-2"/>
                  <c:y val="-2.8423574753459229E-2"/>
                </c:manualLayout>
              </c:layout>
              <c:tx>
                <c:rich>
                  <a:bodyPr/>
                  <a:lstStyle/>
                  <a:p>
                    <a:fld id="{571FCA28-5A60-411A-9697-1607336F33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869-41B5-A49D-1C481771AFCD}"/>
                </c:ext>
              </c:extLst>
            </c:dLbl>
            <c:dLbl>
              <c:idx val="3"/>
              <c:layout>
                <c:manualLayout>
                  <c:x val="-0.20611511226560492"/>
                  <c:y val="-8.9140720463761453E-2"/>
                </c:manualLayout>
              </c:layout>
              <c:tx>
                <c:rich>
                  <a:bodyPr/>
                  <a:lstStyle/>
                  <a:p>
                    <a:fld id="{D7CE4B5A-1B0C-408D-B10D-32C3CCB54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869-41B5-A49D-1C481771AF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468C64-0EE2-460E-92EF-2F5ECA41F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869-41B5-A49D-1C481771AF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11120C-036C-46F4-BE17-D535DE7B8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869-41B5-A49D-1C481771AF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741880-C46A-463D-9DFC-33B1EF211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869-41B5-A49D-1C481771AFCD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5069C0B9-DBFE-407F-8A06-ED2CDC3EA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869-41B5-A49D-1C481771AFCD}"/>
                </c:ext>
              </c:extLst>
            </c:dLbl>
            <c:dLbl>
              <c:idx val="8"/>
              <c:layout>
                <c:manualLayout>
                  <c:x val="4.3184421048251799E-2"/>
                  <c:y val="-0.10016493649204017"/>
                </c:manualLayout>
              </c:layout>
              <c:tx>
                <c:rich>
                  <a:bodyPr/>
                  <a:lstStyle/>
                  <a:p>
                    <a:fld id="{AB4C4F7E-945D-46BA-A47B-BA6E95F6E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869-41B5-A49D-1C481771AFCD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0B284491-AB2D-4254-AC49-518A0E29D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869-41B5-A49D-1C481771AFCD}"/>
                </c:ext>
              </c:extLst>
            </c:dLbl>
            <c:dLbl>
              <c:idx val="10"/>
              <c:layout>
                <c:manualLayout>
                  <c:x val="-2.5634395167428343E-2"/>
                  <c:y val="-0.25763672896424539"/>
                </c:manualLayout>
              </c:layout>
              <c:tx>
                <c:rich>
                  <a:bodyPr/>
                  <a:lstStyle/>
                  <a:p>
                    <a:fld id="{F5D6CC59-947D-444C-947B-D9377B9D3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869-41B5-A49D-1C481771AFCD}"/>
                </c:ext>
              </c:extLst>
            </c:dLbl>
            <c:dLbl>
              <c:idx val="11"/>
              <c:layout>
                <c:manualLayout>
                  <c:x val="7.7302569168020193E-3"/>
                  <c:y val="-9.9828076467860669E-2"/>
                </c:manualLayout>
              </c:layout>
              <c:tx>
                <c:rich>
                  <a:bodyPr/>
                  <a:lstStyle/>
                  <a:p>
                    <a:fld id="{393A4DFF-59F4-404B-8474-D095A4091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869-41B5-A49D-1C481771AFCD}"/>
                </c:ext>
              </c:extLst>
            </c:dLbl>
            <c:dLbl>
              <c:idx val="12"/>
              <c:layout>
                <c:manualLayout>
                  <c:x val="2.2514191965238677E-2"/>
                  <c:y val="-0.19511881144096066"/>
                </c:manualLayout>
              </c:layout>
              <c:tx>
                <c:rich>
                  <a:bodyPr/>
                  <a:lstStyle/>
                  <a:p>
                    <a:fld id="{D6ABF276-F968-495F-8DBA-CD3A7AFF6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869-41B5-A49D-1C481771AFCD}"/>
                </c:ext>
              </c:extLst>
            </c:dLbl>
            <c:dLbl>
              <c:idx val="13"/>
              <c:layout>
                <c:manualLayout>
                  <c:x val="5.3324898319057734E-2"/>
                  <c:y val="-0.20259748508902126"/>
                </c:manualLayout>
              </c:layout>
              <c:tx>
                <c:rich>
                  <a:bodyPr/>
                  <a:lstStyle/>
                  <a:p>
                    <a:fld id="{6C2793F3-1849-4820-B8A1-D24977F75A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869-41B5-A49D-1C481771AFCD}"/>
                </c:ext>
              </c:extLst>
            </c:dLbl>
            <c:dLbl>
              <c:idx val="14"/>
              <c:layout>
                <c:manualLayout>
                  <c:x val="-2.0889699637404755E-2"/>
                  <c:y val="-0.35595221711486069"/>
                </c:manualLayout>
              </c:layout>
              <c:tx>
                <c:rich>
                  <a:bodyPr/>
                  <a:lstStyle/>
                  <a:p>
                    <a:fld id="{F7E5BA1F-4030-4322-8B53-8A2AAB46D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869-41B5-A49D-1C481771AFCD}"/>
                </c:ext>
              </c:extLst>
            </c:dLbl>
            <c:dLbl>
              <c:idx val="15"/>
              <c:layout>
                <c:manualLayout>
                  <c:x val="2.8112888737952011E-2"/>
                  <c:y val="-4.478883259263651E-2"/>
                </c:manualLayout>
              </c:layout>
              <c:tx>
                <c:rich>
                  <a:bodyPr/>
                  <a:lstStyle/>
                  <a:p>
                    <a:fld id="{A1618D3E-AFDF-48CF-B6DF-48C6703BD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869-41B5-A49D-1C481771AF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869-41B5-A49D-1C481771AF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869-41B5-A49D-1C481771AF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869-41B5-A49D-1C481771AF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869-41B5-A49D-1C481771AF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869-41B5-A49D-1C481771AFC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869-41B5-A49D-1C481771AFC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869-41B5-A49D-1C481771AFC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869-41B5-A49D-1C481771AFC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869-41B5-A49D-1C481771AFC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869-41B5-A49D-1C481771AFC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869-41B5-A49D-1C481771AFC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869-41B5-A49D-1C481771AFC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869-41B5-A49D-1C481771AFC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869-41B5-A49D-1C481771AFC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869-41B5-A49D-1C481771AFC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869-41B5-A49D-1C481771AFC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869-41B5-A49D-1C481771AFC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869-41B5-A49D-1C481771AFC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869-41B5-A49D-1C481771AFC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869-41B5-A49D-1C481771AFC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869-41B5-A49D-1C481771AFC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869-41B5-A49D-1C481771AFC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869-41B5-A49D-1C481771AFC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869-41B5-A49D-1C481771AFC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869-41B5-A49D-1C481771AFC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869-41B5-A49D-1C481771AFC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869-41B5-A49D-1C481771AFC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869-41B5-A49D-1C481771AFC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869-41B5-A49D-1C481771AFC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869-41B5-A49D-1C481771AFC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869-41B5-A49D-1C481771AFC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869-41B5-A49D-1C481771AFC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869-41B5-A49D-1C481771AFC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869-41B5-A49D-1C481771AFC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869-41B5-A49D-1C481771AFC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869-41B5-A49D-1C481771AF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acc_hr!$E$2:$E$53</c:f>
              <c:numCache>
                <c:formatCode>0.000</c:formatCode>
                <c:ptCount val="52"/>
                <c:pt idx="0">
                  <c:v>0.879</c:v>
                </c:pt>
                <c:pt idx="1">
                  <c:v>0.88600000000000001</c:v>
                </c:pt>
                <c:pt idx="2">
                  <c:v>0.85699999999999998</c:v>
                </c:pt>
                <c:pt idx="3">
                  <c:v>0.874</c:v>
                </c:pt>
                <c:pt idx="4">
                  <c:v>0.875</c:v>
                </c:pt>
                <c:pt idx="5">
                  <c:v>0.88600000000000001</c:v>
                </c:pt>
                <c:pt idx="6">
                  <c:v>0.88700000000000001</c:v>
                </c:pt>
                <c:pt idx="7">
                  <c:v>0.88266666666666671</c:v>
                </c:pt>
                <c:pt idx="8">
                  <c:v>0.80600000000000005</c:v>
                </c:pt>
                <c:pt idx="9">
                  <c:v>0.755</c:v>
                </c:pt>
                <c:pt idx="10">
                  <c:v>0.74399999999999999</c:v>
                </c:pt>
                <c:pt idx="11">
                  <c:v>0.7683333333333332</c:v>
                </c:pt>
                <c:pt idx="12">
                  <c:v>0.80200000000000005</c:v>
                </c:pt>
                <c:pt idx="13">
                  <c:v>0.75800000000000001</c:v>
                </c:pt>
                <c:pt idx="14">
                  <c:v>0.754</c:v>
                </c:pt>
                <c:pt idx="15">
                  <c:v>0.77133333333333332</c:v>
                </c:pt>
              </c:numCache>
            </c:numRef>
          </c:xVal>
          <c:yVal>
            <c:numRef>
              <c:f>acc_hr!$I$2:$I$53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acc_hr!$B$2:$B$17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4869-41B5-A49D-1C481771AF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"/>
          <c:min val="0.74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Točnost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Vrijeme (min)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737260141257821E-2"/>
          <c:y val="3.007640526459809E-2"/>
          <c:w val="0.76489888363916847"/>
          <c:h val="0.84183018693659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6-4840-AD40-24146C5712F9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C6-4840-AD40-24146C5712F9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C6-4840-AD40-24146C5712F9}"/>
            </c:ext>
          </c:extLst>
        </c:ser>
        <c:ser>
          <c:idx val="3"/>
          <c:order val="3"/>
          <c:tx>
            <c:strRef>
              <c:f>acc!$I$1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4C6-4840-AD40-24146C5712F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4C6-4840-AD40-24146C5712F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4C6-4840-AD40-24146C5712F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4C6-4840-AD40-24146C5712F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4C6-4840-AD40-24146C5712F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E4C6-4840-AD40-24146C5712F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4C6-4840-AD40-24146C5712F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E4C6-4840-AD40-24146C5712F9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4C6-4840-AD40-24146C5712F9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4C6-4840-AD40-24146C5712F9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4C6-4840-AD40-24146C5712F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4C6-4840-AD40-24146C5712F9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4C6-4840-AD40-24146C5712F9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4C6-4840-AD40-24146C5712F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0B6C370-149D-448A-8791-73CE8B93E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4C6-4840-AD40-24146C5712F9}"/>
                </c:ext>
              </c:extLst>
            </c:dLbl>
            <c:dLbl>
              <c:idx val="1"/>
              <c:layout>
                <c:manualLayout>
                  <c:x val="-0.1531463327467899"/>
                  <c:y val="-7.92715553222278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4ACB0E0-2EAF-45E8-B204-FDB640C321B3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4C6-4840-AD40-24146C5712F9}"/>
                </c:ext>
              </c:extLst>
            </c:dLbl>
            <c:dLbl>
              <c:idx val="2"/>
              <c:layout>
                <c:manualLayout>
                  <c:x val="-8.1385075849476199E-2"/>
                  <c:y val="-2.8423574753459229E-2"/>
                </c:manualLayout>
              </c:layout>
              <c:tx>
                <c:rich>
                  <a:bodyPr/>
                  <a:lstStyle/>
                  <a:p>
                    <a:fld id="{432822AF-934A-4848-B765-6FE9898C9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4C6-4840-AD40-24146C5712F9}"/>
                </c:ext>
              </c:extLst>
            </c:dLbl>
            <c:dLbl>
              <c:idx val="3"/>
              <c:layout>
                <c:manualLayout>
                  <c:x val="-0.20611511226560492"/>
                  <c:y val="-8.9140720463761453E-2"/>
                </c:manualLayout>
              </c:layout>
              <c:tx>
                <c:rich>
                  <a:bodyPr/>
                  <a:lstStyle/>
                  <a:p>
                    <a:fld id="{E36E41C7-1759-4D98-9667-CE967F39D0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4C6-4840-AD40-24146C5712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F50B65-8E51-48D0-9712-5CA17DE3E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C6-4840-AD40-24146C5712F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69528B-CF74-4DF3-94C5-FC0DAE107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4C6-4840-AD40-24146C5712F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15728B5-AAA4-4EE4-9ED7-8B2D6D564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4C6-4840-AD40-24146C5712F9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F7D16654-CA27-4D68-AB0A-6A9C5709AE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4C6-4840-AD40-24146C5712F9}"/>
                </c:ext>
              </c:extLst>
            </c:dLbl>
            <c:dLbl>
              <c:idx val="8"/>
              <c:layout>
                <c:manualLayout>
                  <c:x val="4.3184421048251799E-2"/>
                  <c:y val="-0.10016493649204017"/>
                </c:manualLayout>
              </c:layout>
              <c:tx>
                <c:rich>
                  <a:bodyPr/>
                  <a:lstStyle/>
                  <a:p>
                    <a:fld id="{F15D4760-0F2A-4672-A43C-F6E5617631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4C6-4840-AD40-24146C5712F9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538C9646-E6C5-4B8B-8C1E-2795F6FFF0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4C6-4840-AD40-24146C5712F9}"/>
                </c:ext>
              </c:extLst>
            </c:dLbl>
            <c:dLbl>
              <c:idx val="10"/>
              <c:layout>
                <c:manualLayout>
                  <c:x val="-2.5634395167428343E-2"/>
                  <c:y val="-0.25763672896424539"/>
                </c:manualLayout>
              </c:layout>
              <c:tx>
                <c:rich>
                  <a:bodyPr/>
                  <a:lstStyle/>
                  <a:p>
                    <a:fld id="{009074DE-42E3-4F5C-B36D-EF97E5AD6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4C6-4840-AD40-24146C5712F9}"/>
                </c:ext>
              </c:extLst>
            </c:dLbl>
            <c:dLbl>
              <c:idx val="11"/>
              <c:layout>
                <c:manualLayout>
                  <c:x val="7.7302569168020193E-3"/>
                  <c:y val="-9.9828076467860669E-2"/>
                </c:manualLayout>
              </c:layout>
              <c:tx>
                <c:rich>
                  <a:bodyPr/>
                  <a:lstStyle/>
                  <a:p>
                    <a:fld id="{6208FA9A-16DF-4F1B-B8C4-5D3D6758F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4C6-4840-AD40-24146C5712F9}"/>
                </c:ext>
              </c:extLst>
            </c:dLbl>
            <c:dLbl>
              <c:idx val="12"/>
              <c:layout>
                <c:manualLayout>
                  <c:x val="2.2514191965238677E-2"/>
                  <c:y val="-0.19511881144096066"/>
                </c:manualLayout>
              </c:layout>
              <c:tx>
                <c:rich>
                  <a:bodyPr/>
                  <a:lstStyle/>
                  <a:p>
                    <a:fld id="{762E21B9-BABF-4E06-B4D7-814D759AF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4C6-4840-AD40-24146C5712F9}"/>
                </c:ext>
              </c:extLst>
            </c:dLbl>
            <c:dLbl>
              <c:idx val="13"/>
              <c:layout>
                <c:manualLayout>
                  <c:x val="5.3324898319057734E-2"/>
                  <c:y val="-0.20259748508902126"/>
                </c:manualLayout>
              </c:layout>
              <c:tx>
                <c:rich>
                  <a:bodyPr/>
                  <a:lstStyle/>
                  <a:p>
                    <a:fld id="{C9F8D28B-4D93-4209-9132-9E36A0719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E4C6-4840-AD40-24146C5712F9}"/>
                </c:ext>
              </c:extLst>
            </c:dLbl>
            <c:dLbl>
              <c:idx val="14"/>
              <c:layout>
                <c:manualLayout>
                  <c:x val="-2.0889699637404755E-2"/>
                  <c:y val="-0.35595221711486069"/>
                </c:manualLayout>
              </c:layout>
              <c:tx>
                <c:rich>
                  <a:bodyPr/>
                  <a:lstStyle/>
                  <a:p>
                    <a:fld id="{D2BEDADE-4C1C-4565-B9EE-5DE2413B6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4C6-4840-AD40-24146C5712F9}"/>
                </c:ext>
              </c:extLst>
            </c:dLbl>
            <c:dLbl>
              <c:idx val="15"/>
              <c:layout>
                <c:manualLayout>
                  <c:x val="2.8112888737952011E-2"/>
                  <c:y val="-4.478883259263651E-2"/>
                </c:manualLayout>
              </c:layout>
              <c:tx>
                <c:rich>
                  <a:bodyPr/>
                  <a:lstStyle/>
                  <a:p>
                    <a:fld id="{2AECCFAA-D6E6-478F-834E-F5D5DDBB11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E4C6-4840-AD40-24146C5712F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4C6-4840-AD40-24146C5712F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4C6-4840-AD40-24146C5712F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4C6-4840-AD40-24146C5712F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4C6-4840-AD40-24146C5712F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4C6-4840-AD40-24146C5712F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4C6-4840-AD40-24146C5712F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4C6-4840-AD40-24146C5712F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4C6-4840-AD40-24146C5712F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4C6-4840-AD40-24146C5712F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4C6-4840-AD40-24146C5712F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4C6-4840-AD40-24146C5712F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4C6-4840-AD40-24146C5712F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4C6-4840-AD40-24146C5712F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4C6-4840-AD40-24146C5712F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4C6-4840-AD40-24146C5712F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4C6-4840-AD40-24146C5712F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4C6-4840-AD40-24146C5712F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4C6-4840-AD40-24146C5712F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4C6-4840-AD40-24146C5712F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4C6-4840-AD40-24146C5712F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4C6-4840-AD40-24146C5712F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4C6-4840-AD40-24146C5712F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4C6-4840-AD40-24146C5712F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4C6-4840-AD40-24146C5712F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4C6-4840-AD40-24146C5712F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4C6-4840-AD40-24146C5712F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4C6-4840-AD40-24146C5712F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4C6-4840-AD40-24146C5712F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4C6-4840-AD40-24146C5712F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4C6-4840-AD40-24146C5712F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4C6-4840-AD40-24146C5712F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4C6-4840-AD40-24146C5712F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4C6-4840-AD40-24146C5712F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4C6-4840-AD40-24146C5712F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4C6-4840-AD40-24146C5712F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4C6-4840-AD40-24146C571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acc!$E$2:$E$53</c:f>
              <c:numCache>
                <c:formatCode>0.000</c:formatCode>
                <c:ptCount val="52"/>
                <c:pt idx="0">
                  <c:v>0.879</c:v>
                </c:pt>
                <c:pt idx="1">
                  <c:v>0.88600000000000001</c:v>
                </c:pt>
                <c:pt idx="2">
                  <c:v>0.85699999999999998</c:v>
                </c:pt>
                <c:pt idx="3">
                  <c:v>0.874</c:v>
                </c:pt>
                <c:pt idx="4">
                  <c:v>0.875</c:v>
                </c:pt>
                <c:pt idx="5">
                  <c:v>0.88600000000000001</c:v>
                </c:pt>
                <c:pt idx="6">
                  <c:v>0.88700000000000001</c:v>
                </c:pt>
                <c:pt idx="7">
                  <c:v>0.88266666666666671</c:v>
                </c:pt>
                <c:pt idx="8">
                  <c:v>0.80600000000000005</c:v>
                </c:pt>
                <c:pt idx="9">
                  <c:v>0.755</c:v>
                </c:pt>
                <c:pt idx="10">
                  <c:v>0.74399999999999999</c:v>
                </c:pt>
                <c:pt idx="11">
                  <c:v>0.7683333333333332</c:v>
                </c:pt>
                <c:pt idx="12">
                  <c:v>0.80200000000000005</c:v>
                </c:pt>
                <c:pt idx="13">
                  <c:v>0.75800000000000001</c:v>
                </c:pt>
                <c:pt idx="14">
                  <c:v>0.754</c:v>
                </c:pt>
                <c:pt idx="15">
                  <c:v>0.77133333333333332</c:v>
                </c:pt>
              </c:numCache>
            </c:numRef>
          </c:xVal>
          <c:yVal>
            <c:numRef>
              <c:f>acc!$I$2:$I$53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acc!$B$2:$B$17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E4C6-4840-AD40-24146C5712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"/>
          <c:min val="0.74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Accuracy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Time (min)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737260141257821E-2"/>
          <c:y val="3.007640526459809E-2"/>
          <c:w val="0.76489888363916847"/>
          <c:h val="0.84183018693659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E-492B-AB61-A8F7FB9A8755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E-492B-AB61-A8F7FB9A8755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DE-492B-AB61-A8F7FB9A8755}"/>
            </c:ext>
          </c:extLst>
        </c:ser>
        <c:ser>
          <c:idx val="3"/>
          <c:order val="3"/>
          <c:tx>
            <c:strRef>
              <c:f>'auc2'!$I$1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9DE-492B-AB61-A8F7FB9A875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9DE-492B-AB61-A8F7FB9A875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9DE-492B-AB61-A8F7FB9A875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9DE-492B-AB61-A8F7FB9A875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99DE-492B-AB61-A8F7FB9A875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9DE-492B-AB61-A8F7FB9A875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9DE-492B-AB61-A8F7FB9A875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9DE-492B-AB61-A8F7FB9A875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9DE-492B-AB61-A8F7FB9A875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9DE-492B-AB61-A8F7FB9A875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9DE-492B-AB61-A8F7FB9A8755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9DE-492B-AB61-A8F7FB9A875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9DE-492B-AB61-A8F7FB9A875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9DE-492B-AB61-A8F7FB9A8755}"/>
              </c:ext>
            </c:extLst>
          </c:dPt>
          <c:dLbls>
            <c:dLbl>
              <c:idx val="0"/>
              <c:layout>
                <c:manualLayout>
                  <c:x val="-0.16178233109573514"/>
                  <c:y val="6.9766160204864772E-2"/>
                </c:manualLayout>
              </c:layout>
              <c:tx>
                <c:rich>
                  <a:bodyPr/>
                  <a:lstStyle/>
                  <a:p>
                    <a:fld id="{824E938C-1575-4C73-99B2-C1B344EE6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9DE-492B-AB61-A8F7FB9A8755}"/>
                </c:ext>
              </c:extLst>
            </c:dLbl>
            <c:dLbl>
              <c:idx val="1"/>
              <c:layout>
                <c:manualLayout>
                  <c:x val="-0.1531463327467899"/>
                  <c:y val="-7.92715553222278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676F736-4D3C-4FC5-9FA2-0B5C781E3524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9DE-492B-AB61-A8F7FB9A8755}"/>
                </c:ext>
              </c:extLst>
            </c:dLbl>
            <c:dLbl>
              <c:idx val="2"/>
              <c:layout>
                <c:manualLayout>
                  <c:x val="-7.9712562050637346E-3"/>
                  <c:y val="5.4845735625415441E-2"/>
                </c:manualLayout>
              </c:layout>
              <c:tx>
                <c:rich>
                  <a:bodyPr/>
                  <a:lstStyle/>
                  <a:p>
                    <a:fld id="{7EFFC420-E367-4668-BC75-0F7834AC5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9DE-492B-AB61-A8F7FB9A8755}"/>
                </c:ext>
              </c:extLst>
            </c:dLbl>
            <c:dLbl>
              <c:idx val="3"/>
              <c:layout>
                <c:manualLayout>
                  <c:x val="-0.20611511226560492"/>
                  <c:y val="-8.9140720463761453E-2"/>
                </c:manualLayout>
              </c:layout>
              <c:tx>
                <c:rich>
                  <a:bodyPr/>
                  <a:lstStyle/>
                  <a:p>
                    <a:fld id="{0A803E13-4807-452B-A65C-81E2B72019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9DE-492B-AB61-A8F7FB9A8755}"/>
                </c:ext>
              </c:extLst>
            </c:dLbl>
            <c:dLbl>
              <c:idx val="4"/>
              <c:layout>
                <c:manualLayout>
                  <c:x val="-8.4289954016265475E-2"/>
                  <c:y val="2.4755734266242339E-2"/>
                </c:manualLayout>
              </c:layout>
              <c:tx>
                <c:rich>
                  <a:bodyPr/>
                  <a:lstStyle/>
                  <a:p>
                    <a:fld id="{2CC28F56-8F3D-4C8A-AAA1-82507B4062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9DE-492B-AB61-A8F7FB9A875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08B747-FAE1-4E56-B86B-DC7912AC15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9DE-492B-AB61-A8F7FB9A875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FFBFF2-C526-41C4-9591-66FDDFE90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9DE-492B-AB61-A8F7FB9A8755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216F1CE7-C3B3-4F0F-9E28-0EB94CB3E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9DE-492B-AB61-A8F7FB9A8755}"/>
                </c:ext>
              </c:extLst>
            </c:dLbl>
            <c:dLbl>
              <c:idx val="8"/>
              <c:layout>
                <c:manualLayout>
                  <c:x val="4.3184421048251799E-2"/>
                  <c:y val="-0.10016493649204017"/>
                </c:manualLayout>
              </c:layout>
              <c:tx>
                <c:rich>
                  <a:bodyPr/>
                  <a:lstStyle/>
                  <a:p>
                    <a:fld id="{230705DC-8B31-411D-8177-88E54710E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9DE-492B-AB61-A8F7FB9A8755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54CE373B-958D-4527-BDEF-FB30A26366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9DE-492B-AB61-A8F7FB9A8755}"/>
                </c:ext>
              </c:extLst>
            </c:dLbl>
            <c:dLbl>
              <c:idx val="10"/>
              <c:layout>
                <c:manualLayout>
                  <c:x val="-2.5634395167428343E-2"/>
                  <c:y val="-0.25763672896424539"/>
                </c:manualLayout>
              </c:layout>
              <c:tx>
                <c:rich>
                  <a:bodyPr/>
                  <a:lstStyle/>
                  <a:p>
                    <a:fld id="{FB931B02-DEB5-4C3E-8CA6-FE90DB91B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9DE-492B-AB61-A8F7FB9A8755}"/>
                </c:ext>
              </c:extLst>
            </c:dLbl>
            <c:dLbl>
              <c:idx val="11"/>
              <c:layout>
                <c:manualLayout>
                  <c:x val="7.7302569168020193E-3"/>
                  <c:y val="-9.9828076467860669E-2"/>
                </c:manualLayout>
              </c:layout>
              <c:tx>
                <c:rich>
                  <a:bodyPr/>
                  <a:lstStyle/>
                  <a:p>
                    <a:fld id="{73309F3E-1266-4860-A524-D51E529D6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9DE-492B-AB61-A8F7FB9A8755}"/>
                </c:ext>
              </c:extLst>
            </c:dLbl>
            <c:dLbl>
              <c:idx val="12"/>
              <c:layout>
                <c:manualLayout>
                  <c:x val="2.3873732492760362E-2"/>
                  <c:y val="-0.16136095933875078"/>
                </c:manualLayout>
              </c:layout>
              <c:tx>
                <c:rich>
                  <a:bodyPr/>
                  <a:lstStyle/>
                  <a:p>
                    <a:fld id="{3F53C107-E56E-4E9D-AE88-A5DEEEC9CD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9DE-492B-AB61-A8F7FB9A8755}"/>
                </c:ext>
              </c:extLst>
            </c:dLbl>
            <c:dLbl>
              <c:idx val="13"/>
              <c:layout>
                <c:manualLayout>
                  <c:x val="5.3324898319057734E-2"/>
                  <c:y val="-0.20259748508902126"/>
                </c:manualLayout>
              </c:layout>
              <c:tx>
                <c:rich>
                  <a:bodyPr/>
                  <a:lstStyle/>
                  <a:p>
                    <a:fld id="{A89C2A0E-A9E2-4122-B306-482C9A36F1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9DE-492B-AB61-A8F7FB9A8755}"/>
                </c:ext>
              </c:extLst>
            </c:dLbl>
            <c:dLbl>
              <c:idx val="14"/>
              <c:layout>
                <c:manualLayout>
                  <c:x val="-2.0889699637404755E-2"/>
                  <c:y val="-0.35595221711486069"/>
                </c:manualLayout>
              </c:layout>
              <c:tx>
                <c:rich>
                  <a:bodyPr/>
                  <a:lstStyle/>
                  <a:p>
                    <a:fld id="{0DA836B0-05D8-40EC-A164-250EC5145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9DE-492B-AB61-A8F7FB9A8755}"/>
                </c:ext>
              </c:extLst>
            </c:dLbl>
            <c:dLbl>
              <c:idx val="15"/>
              <c:layout>
                <c:manualLayout>
                  <c:x val="2.8112888737952011E-2"/>
                  <c:y val="-4.478883259263651E-2"/>
                </c:manualLayout>
              </c:layout>
              <c:tx>
                <c:rich>
                  <a:bodyPr/>
                  <a:lstStyle/>
                  <a:p>
                    <a:fld id="{DF050F81-85F4-490E-A591-2275D20F78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9DE-492B-AB61-A8F7FB9A875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9DE-492B-AB61-A8F7FB9A875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9DE-492B-AB61-A8F7FB9A875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9DE-492B-AB61-A8F7FB9A875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9DE-492B-AB61-A8F7FB9A875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9DE-492B-AB61-A8F7FB9A875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9DE-492B-AB61-A8F7FB9A875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9DE-492B-AB61-A8F7FB9A875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9DE-492B-AB61-A8F7FB9A875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9DE-492B-AB61-A8F7FB9A875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9DE-492B-AB61-A8F7FB9A875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9DE-492B-AB61-A8F7FB9A875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9DE-492B-AB61-A8F7FB9A875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9DE-492B-AB61-A8F7FB9A875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9DE-492B-AB61-A8F7FB9A875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9DE-492B-AB61-A8F7FB9A875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9DE-492B-AB61-A8F7FB9A875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9DE-492B-AB61-A8F7FB9A875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9DE-492B-AB61-A8F7FB9A875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9DE-492B-AB61-A8F7FB9A875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9DE-492B-AB61-A8F7FB9A875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9DE-492B-AB61-A8F7FB9A875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9DE-492B-AB61-A8F7FB9A875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9DE-492B-AB61-A8F7FB9A875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9DE-492B-AB61-A8F7FB9A875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9DE-492B-AB61-A8F7FB9A875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9DE-492B-AB61-A8F7FB9A875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9DE-492B-AB61-A8F7FB9A875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9DE-492B-AB61-A8F7FB9A875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9DE-492B-AB61-A8F7FB9A875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9DE-492B-AB61-A8F7FB9A875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9DE-492B-AB61-A8F7FB9A875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9DE-492B-AB61-A8F7FB9A875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9DE-492B-AB61-A8F7FB9A875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9DE-492B-AB61-A8F7FB9A875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9DE-492B-AB61-A8F7FB9A875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9DE-492B-AB61-A8F7FB9A87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'auc2'!$E$2:$E$53</c:f>
              <c:numCache>
                <c:formatCode>0.000</c:formatCode>
                <c:ptCount val="52"/>
                <c:pt idx="0">
                  <c:v>0.92900000000000005</c:v>
                </c:pt>
                <c:pt idx="1">
                  <c:v>0.93500000000000005</c:v>
                </c:pt>
                <c:pt idx="2">
                  <c:v>0.93899999999999995</c:v>
                </c:pt>
                <c:pt idx="3">
                  <c:v>0.93433333333333335</c:v>
                </c:pt>
                <c:pt idx="4">
                  <c:v>0.90200000000000002</c:v>
                </c:pt>
                <c:pt idx="5">
                  <c:v>0.90900000000000003</c:v>
                </c:pt>
                <c:pt idx="6">
                  <c:v>0.90900000000000003</c:v>
                </c:pt>
                <c:pt idx="7">
                  <c:v>0.90666666666666662</c:v>
                </c:pt>
                <c:pt idx="8">
                  <c:v>0.80900000000000005</c:v>
                </c:pt>
                <c:pt idx="9">
                  <c:v>0.73899999999999999</c:v>
                </c:pt>
                <c:pt idx="10">
                  <c:v>0.71399999999999997</c:v>
                </c:pt>
                <c:pt idx="11">
                  <c:v>0.754</c:v>
                </c:pt>
                <c:pt idx="12">
                  <c:v>0.80900000000000005</c:v>
                </c:pt>
                <c:pt idx="13">
                  <c:v>0.76100000000000001</c:v>
                </c:pt>
                <c:pt idx="14">
                  <c:v>0.72499999999999998</c:v>
                </c:pt>
                <c:pt idx="15">
                  <c:v>0.76500000000000001</c:v>
                </c:pt>
              </c:numCache>
            </c:numRef>
          </c:xVal>
          <c:yVal>
            <c:numRef>
              <c:f>'auc2'!$I$2:$I$53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'auc2'!$B$2:$B$17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99DE-492B-AB61-A8F7FB9A87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4000000000000006"/>
          <c:min val="0.710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AUC</a:t>
                </a:r>
                <a:r>
                  <a:rPr lang="hr-HR" sz="1600" baseline="0"/>
                  <a:t> score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Time (min)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737260141257821E-2"/>
          <c:y val="3.007640526459809E-2"/>
          <c:w val="0.76489888363916847"/>
          <c:h val="0.84183018693659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EF-464A-BB4A-41C2C40C0C57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F-464A-BB4A-41C2C40C0C57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EF-464A-BB4A-41C2C40C0C57}"/>
            </c:ext>
          </c:extLst>
        </c:ser>
        <c:ser>
          <c:idx val="3"/>
          <c:order val="3"/>
          <c:tx>
            <c:strRef>
              <c:f>precision2!$I$1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CEF-464A-BB4A-41C2C40C0C5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CEF-464A-BB4A-41C2C40C0C5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CEF-464A-BB4A-41C2C40C0C5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CEF-464A-BB4A-41C2C40C0C57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CEF-464A-BB4A-41C2C40C0C5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CEF-464A-BB4A-41C2C40C0C57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CEF-464A-BB4A-41C2C40C0C57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CEF-464A-BB4A-41C2C40C0C57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CEF-464A-BB4A-41C2C40C0C57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CEF-464A-BB4A-41C2C40C0C57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CEF-464A-BB4A-41C2C40C0C57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CEF-464A-BB4A-41C2C40C0C57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CEF-464A-BB4A-41C2C40C0C57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CEF-464A-BB4A-41C2C40C0C5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FD0601F-0121-493F-93D6-3A8A045078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CEF-464A-BB4A-41C2C40C0C57}"/>
                </c:ext>
              </c:extLst>
            </c:dLbl>
            <c:dLbl>
              <c:idx val="1"/>
              <c:layout>
                <c:manualLayout>
                  <c:x val="-8.3811019225474445E-2"/>
                  <c:y val="-4.32631708214774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DFF4734-F089-4334-BD0B-31AA04476F8F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CEF-464A-BB4A-41C2C40C0C57}"/>
                </c:ext>
              </c:extLst>
            </c:dLbl>
            <c:dLbl>
              <c:idx val="2"/>
              <c:layout>
                <c:manualLayout>
                  <c:x val="9.5888851171653695E-3"/>
                  <c:y val="5.7923286865356423E-2"/>
                </c:manualLayout>
              </c:layout>
              <c:tx>
                <c:rich>
                  <a:bodyPr/>
                  <a:lstStyle/>
                  <a:p>
                    <a:fld id="{890F10E3-EF74-42ED-B4DF-210BDC93A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CEF-464A-BB4A-41C2C40C0C57}"/>
                </c:ext>
              </c:extLst>
            </c:dLbl>
            <c:dLbl>
              <c:idx val="3"/>
              <c:layout>
                <c:manualLayout>
                  <c:x val="3.0145644951340315E-2"/>
                  <c:y val="-3.4605861928667353E-2"/>
                </c:manualLayout>
              </c:layout>
              <c:tx>
                <c:rich>
                  <a:bodyPr/>
                  <a:lstStyle/>
                  <a:p>
                    <a:fld id="{3F305FF0-6BE7-4E06-9A88-AF9EDEFD2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CEF-464A-BB4A-41C2C40C0C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30442A-83E3-4D31-B2D5-589620337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CEF-464A-BB4A-41C2C40C0C5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806DE7-C56B-4C9A-8722-218A42D405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CEF-464A-BB4A-41C2C40C0C5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E4BCAE7-AE69-4F07-BA43-D612961E7E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CEF-464A-BB4A-41C2C40C0C57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F97012D1-544D-481D-AE0D-E5260EF41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CEF-464A-BB4A-41C2C40C0C57}"/>
                </c:ext>
              </c:extLst>
            </c:dLbl>
            <c:dLbl>
              <c:idx val="8"/>
              <c:layout>
                <c:manualLayout>
                  <c:x val="2.2817156649177155E-2"/>
                  <c:y val="-0.16378897285815444"/>
                </c:manualLayout>
              </c:layout>
              <c:tx>
                <c:rich>
                  <a:bodyPr/>
                  <a:lstStyle/>
                  <a:p>
                    <a:fld id="{5EE5F4D3-1A7B-4F6A-86E1-E60FDD1DB4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CEF-464A-BB4A-41C2C40C0C57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F4F15FCE-B631-48D4-B4DF-EC2EC9A50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CEF-464A-BB4A-41C2C40C0C57}"/>
                </c:ext>
              </c:extLst>
            </c:dLbl>
            <c:dLbl>
              <c:idx val="10"/>
              <c:layout>
                <c:manualLayout>
                  <c:x val="-5.8222057097952848E-2"/>
                  <c:y val="-0.26218133854539982"/>
                </c:manualLayout>
              </c:layout>
              <c:tx>
                <c:rich>
                  <a:bodyPr/>
                  <a:lstStyle/>
                  <a:p>
                    <a:fld id="{EA60CEBD-8957-4408-A1CA-290A4E9EF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CEF-464A-BB4A-41C2C40C0C57}"/>
                </c:ext>
              </c:extLst>
            </c:dLbl>
            <c:dLbl>
              <c:idx val="11"/>
              <c:layout>
                <c:manualLayout>
                  <c:x val="-9.817971876010681E-2"/>
                  <c:y val="-9.98280218468795E-2"/>
                </c:manualLayout>
              </c:layout>
              <c:tx>
                <c:rich>
                  <a:bodyPr/>
                  <a:lstStyle/>
                  <a:p>
                    <a:fld id="{1277A7BC-7A58-4AF7-9447-93F87A5063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CEF-464A-BB4A-41C2C40C0C57}"/>
                </c:ext>
              </c:extLst>
            </c:dLbl>
            <c:dLbl>
              <c:idx val="12"/>
              <c:layout>
                <c:manualLayout>
                  <c:x val="-9.6974038366445803E-2"/>
                  <c:y val="-0.17239593192585123"/>
                </c:manualLayout>
              </c:layout>
              <c:tx>
                <c:rich>
                  <a:bodyPr/>
                  <a:lstStyle/>
                  <a:p>
                    <a:fld id="{402F8DB0-0EE0-4FDD-8B36-DDAF10382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CEF-464A-BB4A-41C2C40C0C57}"/>
                </c:ext>
              </c:extLst>
            </c:dLbl>
            <c:dLbl>
              <c:idx val="13"/>
              <c:layout>
                <c:manualLayout>
                  <c:x val="5.3324898319057734E-2"/>
                  <c:y val="-0.20259748508902126"/>
                </c:manualLayout>
              </c:layout>
              <c:tx>
                <c:rich>
                  <a:bodyPr/>
                  <a:lstStyle/>
                  <a:p>
                    <a:fld id="{50EF1505-EE0F-4160-9DE6-F94C0B3AE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CEF-464A-BB4A-41C2C40C0C57}"/>
                </c:ext>
              </c:extLst>
            </c:dLbl>
            <c:dLbl>
              <c:idx val="14"/>
              <c:layout>
                <c:manualLayout>
                  <c:x val="-6.4339946916705207E-2"/>
                  <c:y val="-6.2827133328872256E-2"/>
                </c:manualLayout>
              </c:layout>
              <c:tx>
                <c:rich>
                  <a:bodyPr/>
                  <a:lstStyle/>
                  <a:p>
                    <a:fld id="{493717EF-17D7-4637-AEBD-050E644C6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CEF-464A-BB4A-41C2C40C0C57}"/>
                </c:ext>
              </c:extLst>
            </c:dLbl>
            <c:dLbl>
              <c:idx val="15"/>
              <c:layout>
                <c:manualLayout>
                  <c:x val="-1.9410844922473313E-2"/>
                  <c:y val="-7.2056198137726374E-2"/>
                </c:manualLayout>
              </c:layout>
              <c:tx>
                <c:rich>
                  <a:bodyPr/>
                  <a:lstStyle/>
                  <a:p>
                    <a:fld id="{628A2CB0-DBFE-4375-9A3F-AFB67EEC4A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CEF-464A-BB4A-41C2C40C0C5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CEF-464A-BB4A-41C2C40C0C5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CEF-464A-BB4A-41C2C40C0C5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CEF-464A-BB4A-41C2C40C0C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CEF-464A-BB4A-41C2C40C0C5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CEF-464A-BB4A-41C2C40C0C5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CEF-464A-BB4A-41C2C40C0C5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CEF-464A-BB4A-41C2C40C0C5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CEF-464A-BB4A-41C2C40C0C5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CEF-464A-BB4A-41C2C40C0C5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CEF-464A-BB4A-41C2C40C0C5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CEF-464A-BB4A-41C2C40C0C5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CEF-464A-BB4A-41C2C40C0C5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CEF-464A-BB4A-41C2C40C0C5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CEF-464A-BB4A-41C2C40C0C5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CEF-464A-BB4A-41C2C40C0C5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CEF-464A-BB4A-41C2C40C0C5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CEF-464A-BB4A-41C2C40C0C5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CEF-464A-BB4A-41C2C40C0C5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CEF-464A-BB4A-41C2C40C0C5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CEF-464A-BB4A-41C2C40C0C5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CEF-464A-BB4A-41C2C40C0C5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CEF-464A-BB4A-41C2C40C0C5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CEF-464A-BB4A-41C2C40C0C5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CEF-464A-BB4A-41C2C40C0C5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CEF-464A-BB4A-41C2C40C0C5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CEF-464A-BB4A-41C2C40C0C5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CEF-464A-BB4A-41C2C40C0C5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CEF-464A-BB4A-41C2C40C0C5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CEF-464A-BB4A-41C2C40C0C5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CEF-464A-BB4A-41C2C40C0C5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CEF-464A-BB4A-41C2C40C0C5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CEF-464A-BB4A-41C2C40C0C5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CEF-464A-BB4A-41C2C40C0C5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CEF-464A-BB4A-41C2C40C0C5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CEF-464A-BB4A-41C2C40C0C5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CEF-464A-BB4A-41C2C40C0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precision2!$E$2:$E$53</c:f>
              <c:numCache>
                <c:formatCode>0.000</c:formatCode>
                <c:ptCount val="52"/>
                <c:pt idx="0">
                  <c:v>0.64600000000000002</c:v>
                </c:pt>
                <c:pt idx="1">
                  <c:v>0.64500000000000002</c:v>
                </c:pt>
                <c:pt idx="2">
                  <c:v>0.63600000000000001</c:v>
                </c:pt>
                <c:pt idx="3">
                  <c:v>0.64233333333333331</c:v>
                </c:pt>
                <c:pt idx="4">
                  <c:v>0.67300000000000004</c:v>
                </c:pt>
                <c:pt idx="5">
                  <c:v>0.65900000000000003</c:v>
                </c:pt>
                <c:pt idx="6">
                  <c:v>0.66</c:v>
                </c:pt>
                <c:pt idx="7">
                  <c:v>0.66400000000000003</c:v>
                </c:pt>
                <c:pt idx="8">
                  <c:v>0.60799999999999998</c:v>
                </c:pt>
                <c:pt idx="9">
                  <c:v>0.54</c:v>
                </c:pt>
                <c:pt idx="10">
                  <c:v>0.61099999999999999</c:v>
                </c:pt>
                <c:pt idx="11">
                  <c:v>0.58633333333333337</c:v>
                </c:pt>
                <c:pt idx="12">
                  <c:v>0.60699999999999998</c:v>
                </c:pt>
                <c:pt idx="13">
                  <c:v>0.53700000000000003</c:v>
                </c:pt>
                <c:pt idx="14">
                  <c:v>0.624</c:v>
                </c:pt>
                <c:pt idx="15">
                  <c:v>0.58933333333333338</c:v>
                </c:pt>
              </c:numCache>
            </c:numRef>
          </c:xVal>
          <c:yVal>
            <c:numRef>
              <c:f>precision2!$I$2:$I$53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precision2!$B$2:$B$17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ACEF-464A-BB4A-41C2C40C0C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68000000000000016"/>
          <c:min val="0.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Preciznost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Vrijeme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737260141257821E-2"/>
          <c:y val="3.007640526459809E-2"/>
          <c:w val="0.76489888363916847"/>
          <c:h val="0.84183018693659217"/>
        </c:manualLayout>
      </c:layout>
      <c:scatterChart>
        <c:scatterStyle val="line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4-4467-9F21-4261B1C3CF25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4-4467-9F21-4261B1C3CF25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4-4467-9F21-4261B1C3CF25}"/>
            </c:ext>
          </c:extLst>
        </c:ser>
        <c:ser>
          <c:idx val="3"/>
          <c:order val="3"/>
          <c:tx>
            <c:strRef>
              <c:f>recall2!$I$1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CF4-4467-9F21-4261B1C3CF2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CF4-4467-9F21-4261B1C3CF2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CF4-4467-9F21-4261B1C3CF2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CF4-4467-9F21-4261B1C3CF2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CF4-4467-9F21-4261B1C3CF2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CF4-4467-9F21-4261B1C3CF2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CF4-4467-9F21-4261B1C3CF2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CF4-4467-9F21-4261B1C3CF2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BCF4-4467-9F21-4261B1C3CF2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BCF4-4467-9F21-4261B1C3CF2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BCF4-4467-9F21-4261B1C3CF25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BCF4-4467-9F21-4261B1C3CF2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BCF4-4467-9F21-4261B1C3CF2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BCF4-4467-9F21-4261B1C3CF25}"/>
              </c:ext>
            </c:extLst>
          </c:dPt>
          <c:dLbls>
            <c:dLbl>
              <c:idx val="0"/>
              <c:layout>
                <c:manualLayout>
                  <c:x val="2.0392730810386783E-2"/>
                  <c:y val="2.2505212969311218E-2"/>
                </c:manualLayout>
              </c:layout>
              <c:tx>
                <c:rich>
                  <a:bodyPr/>
                  <a:lstStyle/>
                  <a:p>
                    <a:fld id="{DA408284-B208-4C1B-B7EB-AF46A6FB0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CF4-4467-9F21-4261B1C3CF25}"/>
                </c:ext>
              </c:extLst>
            </c:dLbl>
            <c:dLbl>
              <c:idx val="1"/>
              <c:layout>
                <c:manualLayout>
                  <c:x val="-0.19529128098892229"/>
                  <c:y val="-7.25199476815821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93F1305-EDCC-488B-94D1-2F81C92C2032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CF4-4467-9F21-4261B1C3CF25}"/>
                </c:ext>
              </c:extLst>
            </c:dLbl>
            <c:dLbl>
              <c:idx val="2"/>
              <c:layout>
                <c:manualLayout>
                  <c:x val="-0.14528231032833483"/>
                  <c:y val="3.0837457959996366E-3"/>
                </c:manualLayout>
              </c:layout>
              <c:tx>
                <c:rich>
                  <a:bodyPr/>
                  <a:lstStyle/>
                  <a:p>
                    <a:fld id="{1383EFFB-4E65-483A-9CDA-365CCC026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CF4-4467-9F21-4261B1C3CF25}"/>
                </c:ext>
              </c:extLst>
            </c:dLbl>
            <c:dLbl>
              <c:idx val="3"/>
              <c:layout>
                <c:manualLayout>
                  <c:x val="-0.20611511226560492"/>
                  <c:y val="-8.9140720463761453E-2"/>
                </c:manualLayout>
              </c:layout>
              <c:tx>
                <c:rich>
                  <a:bodyPr/>
                  <a:lstStyle/>
                  <a:p>
                    <a:fld id="{E5F7143F-94D5-4580-A106-37A1EF510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CF4-4467-9F21-4261B1C3CF2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2B62DF8-67C6-4C20-A43F-374619B72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CF4-4467-9F21-4261B1C3CF2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3FCEE0-9830-4073-989D-B2D18D725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CF4-4467-9F21-4261B1C3CF2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BB10DAD-4C31-4944-877B-6D5DE450A5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CF4-4467-9F21-4261B1C3CF25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BE08FDB4-51B6-460C-B302-4B58125F86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CF4-4467-9F21-4261B1C3CF25}"/>
                </c:ext>
              </c:extLst>
            </c:dLbl>
            <c:dLbl>
              <c:idx val="8"/>
              <c:layout>
                <c:manualLayout>
                  <c:x val="-9.6845667385033168E-2"/>
                  <c:y val="-9.1162769927435744E-2"/>
                </c:manualLayout>
              </c:layout>
              <c:tx>
                <c:rich>
                  <a:bodyPr/>
                  <a:lstStyle/>
                  <a:p>
                    <a:fld id="{B52D7C11-0C35-471E-A8EC-57EC26FB3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CF4-4467-9F21-4261B1C3CF25}"/>
                </c:ext>
              </c:extLst>
            </c:dLbl>
            <c:dLbl>
              <c:idx val="9"/>
              <c:layout>
                <c:manualLayout>
                  <c:x val="-0.13128176395301686"/>
                  <c:y val="-4.8786162731828057E-2"/>
                </c:manualLayout>
              </c:layout>
              <c:tx>
                <c:rich>
                  <a:bodyPr/>
                  <a:lstStyle/>
                  <a:p>
                    <a:fld id="{77A90F73-2B6F-4BFC-9538-BFA8DB9CF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CF4-4467-9F21-4261B1C3CF25}"/>
                </c:ext>
              </c:extLst>
            </c:dLbl>
            <c:dLbl>
              <c:idx val="10"/>
              <c:layout>
                <c:manualLayout>
                  <c:x val="-2.0196296894181745E-2"/>
                  <c:y val="-5.7340270136982487E-2"/>
                </c:manualLayout>
              </c:layout>
              <c:tx>
                <c:rich>
                  <a:bodyPr/>
                  <a:lstStyle/>
                  <a:p>
                    <a:fld id="{630DC636-AF62-473E-A7F1-D57D0EED4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CF4-4467-9F21-4261B1C3CF25}"/>
                </c:ext>
              </c:extLst>
            </c:dLbl>
            <c:dLbl>
              <c:idx val="11"/>
              <c:layout>
                <c:manualLayout>
                  <c:x val="-8.4716756209131522E-2"/>
                  <c:y val="-3.6813566638555825E-2"/>
                </c:manualLayout>
              </c:layout>
              <c:tx>
                <c:rich>
                  <a:bodyPr/>
                  <a:lstStyle/>
                  <a:p>
                    <a:fld id="{521C3282-71FC-4C3F-B4E1-8ABA670A8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CF4-4467-9F21-4261B1C3CF25}"/>
                </c:ext>
              </c:extLst>
            </c:dLbl>
            <c:dLbl>
              <c:idx val="12"/>
              <c:layout>
                <c:manualLayout>
                  <c:x val="2.9311794042196689E-2"/>
                  <c:y val="-0.10059688432161049"/>
                </c:manualLayout>
              </c:layout>
              <c:tx>
                <c:rich>
                  <a:bodyPr/>
                  <a:lstStyle/>
                  <a:p>
                    <a:fld id="{85E9B394-FC67-44FA-A308-FE6DDDDF3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CF4-4467-9F21-4261B1C3CF25}"/>
                </c:ext>
              </c:extLst>
            </c:dLbl>
            <c:dLbl>
              <c:idx val="13"/>
              <c:layout>
                <c:manualLayout>
                  <c:x val="1.6617988165579026E-2"/>
                  <c:y val="-5.1812493653795755E-2"/>
                </c:manualLayout>
              </c:layout>
              <c:tx>
                <c:rich>
                  <a:bodyPr/>
                  <a:lstStyle/>
                  <a:p>
                    <a:fld id="{D18F9B57-8DA5-4D5F-9D5F-638653DB5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CF4-4467-9F21-4261B1C3CF25}"/>
                </c:ext>
              </c:extLst>
            </c:dLbl>
            <c:dLbl>
              <c:idx val="14"/>
              <c:layout>
                <c:manualLayout>
                  <c:x val="4.4367088851502784E-2"/>
                  <c:y val="-5.4382340885929227E-2"/>
                </c:manualLayout>
              </c:layout>
              <c:tx>
                <c:rich>
                  <a:bodyPr/>
                  <a:lstStyle/>
                  <a:p>
                    <a:fld id="{D5047A64-F50A-4929-9CCB-67C7B0DE4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CF4-4467-9F21-4261B1C3CF25}"/>
                </c:ext>
              </c:extLst>
            </c:dLbl>
            <c:dLbl>
              <c:idx val="15"/>
              <c:layout>
                <c:manualLayout>
                  <c:x val="-0.11191723355960523"/>
                  <c:y val="-7.4045694797060566E-2"/>
                </c:manualLayout>
              </c:layout>
              <c:tx>
                <c:rich>
                  <a:bodyPr/>
                  <a:lstStyle/>
                  <a:p>
                    <a:fld id="{2BA21464-028D-433D-86DF-94DF2F418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CF4-4467-9F21-4261B1C3CF2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CF4-4467-9F21-4261B1C3CF2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CF4-4467-9F21-4261B1C3CF2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CF4-4467-9F21-4261B1C3CF2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CF4-4467-9F21-4261B1C3CF2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CF4-4467-9F21-4261B1C3CF2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CF4-4467-9F21-4261B1C3CF2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CF4-4467-9F21-4261B1C3CF2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CF4-4467-9F21-4261B1C3CF2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CF4-4467-9F21-4261B1C3CF2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CF4-4467-9F21-4261B1C3CF2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CF4-4467-9F21-4261B1C3CF2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CF4-4467-9F21-4261B1C3CF2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CF4-4467-9F21-4261B1C3CF2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CF4-4467-9F21-4261B1C3CF2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CF4-4467-9F21-4261B1C3CF2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CF4-4467-9F21-4261B1C3CF2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CF4-4467-9F21-4261B1C3CF2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BCF4-4467-9F21-4261B1C3CF2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CF4-4467-9F21-4261B1C3CF2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CF4-4467-9F21-4261B1C3CF2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CF4-4467-9F21-4261B1C3CF2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CF4-4467-9F21-4261B1C3CF2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CF4-4467-9F21-4261B1C3CF2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CF4-4467-9F21-4261B1C3CF2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CF4-4467-9F21-4261B1C3CF2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CF4-4467-9F21-4261B1C3CF2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CF4-4467-9F21-4261B1C3CF2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CF4-4467-9F21-4261B1C3CF2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CF4-4467-9F21-4261B1C3CF2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CF4-4467-9F21-4261B1C3CF2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CF4-4467-9F21-4261B1C3CF2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CF4-4467-9F21-4261B1C3CF2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CF4-4467-9F21-4261B1C3CF2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CF4-4467-9F21-4261B1C3CF2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CF4-4467-9F21-4261B1C3CF2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CF4-4467-9F21-4261B1C3C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recall2!$E$2:$E$53</c:f>
              <c:numCache>
                <c:formatCode>0.000</c:formatCode>
                <c:ptCount val="52"/>
                <c:pt idx="0">
                  <c:v>0.93200000000000005</c:v>
                </c:pt>
                <c:pt idx="1">
                  <c:v>0.95399999999999996</c:v>
                </c:pt>
                <c:pt idx="2">
                  <c:v>0.92600000000000005</c:v>
                </c:pt>
                <c:pt idx="3">
                  <c:v>0.93733333333333346</c:v>
                </c:pt>
                <c:pt idx="4">
                  <c:v>0.90400000000000003</c:v>
                </c:pt>
                <c:pt idx="5">
                  <c:v>0.93300000000000005</c:v>
                </c:pt>
                <c:pt idx="6">
                  <c:v>0.93300000000000005</c:v>
                </c:pt>
                <c:pt idx="7">
                  <c:v>0.92333333333333345</c:v>
                </c:pt>
                <c:pt idx="8">
                  <c:v>0.88700000000000001</c:v>
                </c:pt>
                <c:pt idx="9">
                  <c:v>0.876</c:v>
                </c:pt>
                <c:pt idx="10">
                  <c:v>0.57899999999999996</c:v>
                </c:pt>
                <c:pt idx="11">
                  <c:v>0.78066666666666651</c:v>
                </c:pt>
                <c:pt idx="12">
                  <c:v>0.90600000000000003</c:v>
                </c:pt>
                <c:pt idx="13">
                  <c:v>0.90800000000000003</c:v>
                </c:pt>
                <c:pt idx="14">
                  <c:v>0.60399999999999998</c:v>
                </c:pt>
                <c:pt idx="15">
                  <c:v>0.80600000000000005</c:v>
                </c:pt>
              </c:numCache>
            </c:numRef>
          </c:xVal>
          <c:yVal>
            <c:numRef>
              <c:f>recall2!$I$2:$I$53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recall2!$B$2:$B$17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BCF4-4467-9F21-4261B1C3CF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6000000000000008"/>
          <c:min val="0.570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600"/>
                  <a:t>Odziv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Vrijeme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#REF!$F$1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#REF!$F$2:$F$53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63-4C44-A03A-E562E68E2776}"/>
            </c:ext>
          </c:extLst>
        </c:ser>
        <c:ser>
          <c:idx val="1"/>
          <c:order val="1"/>
          <c:tx>
            <c:strRef>
              <c:f>#REF!$G$1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#REF!$G$2:$G$53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63-4C44-A03A-E562E68E2776}"/>
            </c:ext>
          </c:extLst>
        </c:ser>
        <c:ser>
          <c:idx val="2"/>
          <c:order val="2"/>
          <c:tx>
            <c:strRef>
              <c:f>#REF!$H$1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#REF!$H$2:$H$53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63-4C44-A03A-E562E68E2776}"/>
            </c:ext>
          </c:extLst>
        </c:ser>
        <c:ser>
          <c:idx val="3"/>
          <c:order val="3"/>
          <c:tx>
            <c:strRef>
              <c:f>auc!$I$1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763-4C44-A03A-E562E68E2776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763-4C44-A03A-E562E68E277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763-4C44-A03A-E562E68E277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763-4C44-A03A-E562E68E277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763-4C44-A03A-E562E68E2776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763-4C44-A03A-E562E68E2776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763-4C44-A03A-E562E68E2776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763-4C44-A03A-E562E68E2776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763-4C44-A03A-E562E68E2776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763-4C44-A03A-E562E68E2776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763-4C44-A03A-E562E68E2776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763-4C44-A03A-E562E68E2776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763-4C44-A03A-E562E68E2776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763-4C44-A03A-E562E68E2776}"/>
              </c:ext>
            </c:extLst>
          </c:dPt>
          <c:dLbls>
            <c:dLbl>
              <c:idx val="0"/>
              <c:layout>
                <c:manualLayout>
                  <c:x val="-0.11163989482408453"/>
                  <c:y val="2.688951795775071E-3"/>
                </c:manualLayout>
              </c:layout>
              <c:tx>
                <c:rich>
                  <a:bodyPr/>
                  <a:lstStyle/>
                  <a:p>
                    <a:fld id="{4B58F4CA-1B2C-4E4C-A74A-ECEC15A897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63-4C44-A03A-E562E68E2776}"/>
                </c:ext>
              </c:extLst>
            </c:dLbl>
            <c:dLbl>
              <c:idx val="1"/>
              <c:layout>
                <c:manualLayout>
                  <c:x val="-1.3763237031198776E-2"/>
                  <c:y val="-3.35264609262254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C5CBCB9-91F4-47B1-83C9-278590431230}" type="CELLRANGE">
                      <a:rPr lang="en-US"/>
                      <a:pPr>
                        <a:defRPr sz="8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763-4C44-A03A-E562E68E2776}"/>
                </c:ext>
              </c:extLst>
            </c:dLbl>
            <c:dLbl>
              <c:idx val="2"/>
              <c:layout>
                <c:manualLayout>
                  <c:x val="-1.626177181889665E-2"/>
                  <c:y val="6.3000870204085083E-2"/>
                </c:manualLayout>
              </c:layout>
              <c:tx>
                <c:rich>
                  <a:bodyPr/>
                  <a:lstStyle/>
                  <a:p>
                    <a:fld id="{61CADDB5-8E05-4A7A-AAEE-58C350C5F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63-4C44-A03A-E562E68E2776}"/>
                </c:ext>
              </c:extLst>
            </c:dLbl>
            <c:dLbl>
              <c:idx val="3"/>
              <c:layout>
                <c:manualLayout>
                  <c:x val="-0.20611511226560492"/>
                  <c:y val="-8.9140720463761453E-2"/>
                </c:manualLayout>
              </c:layout>
              <c:tx>
                <c:rich>
                  <a:bodyPr/>
                  <a:lstStyle/>
                  <a:p>
                    <a:fld id="{94820FDF-1FD8-4EAF-AA3D-1BD5C3E6D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63-4C44-A03A-E562E68E277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231437-74C9-4E9B-BBC0-41B99BE1A2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763-4C44-A03A-E562E68E277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B8D8D1-4268-46E4-A0C6-2105E2C0D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763-4C44-A03A-E562E68E277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C65D51-6B78-4329-B7C6-8216FFC68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763-4C44-A03A-E562E68E2776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9D97F111-21B6-4F78-A760-FC25D63BB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763-4C44-A03A-E562E68E2776}"/>
                </c:ext>
              </c:extLst>
            </c:dLbl>
            <c:dLbl>
              <c:idx val="8"/>
              <c:layout>
                <c:manualLayout>
                  <c:x val="4.3184421048251799E-2"/>
                  <c:y val="-0.10016493649204017"/>
                </c:manualLayout>
              </c:layout>
              <c:tx>
                <c:rich>
                  <a:bodyPr/>
                  <a:lstStyle/>
                  <a:p>
                    <a:fld id="{06128295-8C6F-4AC0-94A6-F18BEA186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63-4C44-A03A-E562E68E2776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6B92A5F9-E476-4D04-B41C-1099986B2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763-4C44-A03A-E562E68E2776}"/>
                </c:ext>
              </c:extLst>
            </c:dLbl>
            <c:dLbl>
              <c:idx val="10"/>
              <c:layout>
                <c:manualLayout>
                  <c:x val="-2.5634395167428343E-2"/>
                  <c:y val="-0.25763672896424539"/>
                </c:manualLayout>
              </c:layout>
              <c:tx>
                <c:rich>
                  <a:bodyPr/>
                  <a:lstStyle/>
                  <a:p>
                    <a:fld id="{BC79EDB7-31CC-436E-B8DC-18EC1CA7F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763-4C44-A03A-E562E68E2776}"/>
                </c:ext>
              </c:extLst>
            </c:dLbl>
            <c:dLbl>
              <c:idx val="11"/>
              <c:layout>
                <c:manualLayout>
                  <c:x val="7.7302569168020193E-3"/>
                  <c:y val="-9.9828076467860669E-2"/>
                </c:manualLayout>
              </c:layout>
              <c:tx>
                <c:rich>
                  <a:bodyPr/>
                  <a:lstStyle/>
                  <a:p>
                    <a:fld id="{53A4E744-F84E-4F2B-8BC9-F55E2D844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763-4C44-A03A-E562E68E2776}"/>
                </c:ext>
              </c:extLst>
            </c:dLbl>
            <c:dLbl>
              <c:idx val="12"/>
              <c:layout>
                <c:manualLayout>
                  <c:x val="2.2514191965238677E-2"/>
                  <c:y val="-0.19511881144096066"/>
                </c:manualLayout>
              </c:layout>
              <c:tx>
                <c:rich>
                  <a:bodyPr/>
                  <a:lstStyle/>
                  <a:p>
                    <a:fld id="{0D25F5C4-8C69-4CD0-8BDE-FE63F82D7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763-4C44-A03A-E562E68E2776}"/>
                </c:ext>
              </c:extLst>
            </c:dLbl>
            <c:dLbl>
              <c:idx val="13"/>
              <c:layout>
                <c:manualLayout>
                  <c:x val="7.3930649803722243E-2"/>
                  <c:y val="-0.24331453362626879"/>
                </c:manualLayout>
              </c:layout>
              <c:tx>
                <c:rich>
                  <a:bodyPr/>
                  <a:lstStyle/>
                  <a:p>
                    <a:fld id="{E2251925-DE12-4A6D-93AD-50DAC6F21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763-4C44-A03A-E562E68E2776}"/>
                </c:ext>
              </c:extLst>
            </c:dLbl>
            <c:dLbl>
              <c:idx val="14"/>
              <c:layout>
                <c:manualLayout>
                  <c:x val="-2.0889699637404755E-2"/>
                  <c:y val="-0.35595221711486069"/>
                </c:manualLayout>
              </c:layout>
              <c:tx>
                <c:rich>
                  <a:bodyPr/>
                  <a:lstStyle/>
                  <a:p>
                    <a:fld id="{F21FA098-6EE8-4DC6-86C9-DA95BBBEDC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763-4C44-A03A-E562E68E2776}"/>
                </c:ext>
              </c:extLst>
            </c:dLbl>
            <c:dLbl>
              <c:idx val="15"/>
              <c:layout>
                <c:manualLayout>
                  <c:x val="2.8112888737952011E-2"/>
                  <c:y val="-4.478883259263651E-2"/>
                </c:manualLayout>
              </c:layout>
              <c:tx>
                <c:rich>
                  <a:bodyPr/>
                  <a:lstStyle/>
                  <a:p>
                    <a:fld id="{AA47E38D-2330-495B-9C7E-167856660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763-4C44-A03A-E562E68E277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763-4C44-A03A-E562E68E277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763-4C44-A03A-E562E68E277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763-4C44-A03A-E562E68E277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763-4C44-A03A-E562E68E277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763-4C44-A03A-E562E68E277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763-4C44-A03A-E562E68E277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763-4C44-A03A-E562E68E27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763-4C44-A03A-E562E68E277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763-4C44-A03A-E562E68E277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763-4C44-A03A-E562E68E277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763-4C44-A03A-E562E68E277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763-4C44-A03A-E562E68E277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763-4C44-A03A-E562E68E277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763-4C44-A03A-E562E68E277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763-4C44-A03A-E562E68E277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763-4C44-A03A-E562E68E277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763-4C44-A03A-E562E68E277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763-4C44-A03A-E562E68E277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763-4C44-A03A-E562E68E277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763-4C44-A03A-E562E68E277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763-4C44-A03A-E562E68E277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763-4C44-A03A-E562E68E277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763-4C44-A03A-E562E68E277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763-4C44-A03A-E562E68E277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763-4C44-A03A-E562E68E2776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763-4C44-A03A-E562E68E2776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763-4C44-A03A-E562E68E277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763-4C44-A03A-E562E68E277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763-4C44-A03A-E562E68E277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763-4C44-A03A-E562E68E2776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763-4C44-A03A-E562E68E2776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763-4C44-A03A-E562E68E2776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763-4C44-A03A-E562E68E2776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763-4C44-A03A-E562E68E2776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763-4C44-A03A-E562E68E2776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763-4C44-A03A-E562E68E27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auc!$E$2:$E$53</c:f>
              <c:numCache>
                <c:formatCode>0.000</c:formatCode>
                <c:ptCount val="52"/>
                <c:pt idx="0">
                  <c:v>0.92900000000000005</c:v>
                </c:pt>
                <c:pt idx="1">
                  <c:v>0.93500000000000005</c:v>
                </c:pt>
                <c:pt idx="2">
                  <c:v>0.93899999999999995</c:v>
                </c:pt>
                <c:pt idx="3">
                  <c:v>0.93433333333333335</c:v>
                </c:pt>
                <c:pt idx="4">
                  <c:v>0.90200000000000002</c:v>
                </c:pt>
                <c:pt idx="5">
                  <c:v>0.90900000000000003</c:v>
                </c:pt>
                <c:pt idx="6">
                  <c:v>0.90900000000000003</c:v>
                </c:pt>
                <c:pt idx="7">
                  <c:v>0.90666666666666662</c:v>
                </c:pt>
                <c:pt idx="8">
                  <c:v>0.80900000000000005</c:v>
                </c:pt>
                <c:pt idx="9">
                  <c:v>0.73899999999999999</c:v>
                </c:pt>
                <c:pt idx="10">
                  <c:v>0.71399999999999997</c:v>
                </c:pt>
                <c:pt idx="11">
                  <c:v>0.754</c:v>
                </c:pt>
                <c:pt idx="12">
                  <c:v>0.80900000000000005</c:v>
                </c:pt>
                <c:pt idx="13">
                  <c:v>0.76100000000000001</c:v>
                </c:pt>
                <c:pt idx="14">
                  <c:v>0.72499999999999998</c:v>
                </c:pt>
                <c:pt idx="15">
                  <c:v>0.76500000000000001</c:v>
                </c:pt>
              </c:numCache>
            </c:numRef>
          </c:xVal>
          <c:yVal>
            <c:numRef>
              <c:f>auc!$I$2:$I$53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auc!$B$2:$B$17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4763-4C44-A03A-E562E68E27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4500000000000006"/>
          <c:min val="0.71000000000000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200"/>
                  <a:t>AUC score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200"/>
                  <a:t>Time (min)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#REF!$F$1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#REF!$F$2:$F$53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9-4AE5-815D-F4FD89DA26DB}"/>
            </c:ext>
          </c:extLst>
        </c:ser>
        <c:ser>
          <c:idx val="1"/>
          <c:order val="1"/>
          <c:tx>
            <c:strRef>
              <c:f>#REF!$G$1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#REF!$G$2:$G$53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49-4AE5-815D-F4FD89DA26DB}"/>
            </c:ext>
          </c:extLst>
        </c:ser>
        <c:ser>
          <c:idx val="2"/>
          <c:order val="2"/>
          <c:tx>
            <c:strRef>
              <c:f>#REF!$H$1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#REF!$H$2:$H$53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49-4AE5-815D-F4FD89DA26DB}"/>
            </c:ext>
          </c:extLst>
        </c:ser>
        <c:ser>
          <c:idx val="3"/>
          <c:order val="3"/>
          <c:tx>
            <c:strRef>
              <c:f>precision!$I$1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A49-4AE5-815D-F4FD89DA26D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A49-4AE5-815D-F4FD89DA26D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A49-4AE5-815D-F4FD89DA26D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A49-4AE5-815D-F4FD89DA26DB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A49-4AE5-815D-F4FD89DA26DB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A49-4AE5-815D-F4FD89DA26D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A49-4AE5-815D-F4FD89DA26DB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A49-4AE5-815D-F4FD89DA26DB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A49-4AE5-815D-F4FD89DA26DB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A49-4AE5-815D-F4FD89DA26DB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A49-4AE5-815D-F4FD89DA26DB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7A49-4AE5-815D-F4FD89DA26DB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7A49-4AE5-815D-F4FD89DA26DB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7A49-4AE5-815D-F4FD89DA26DB}"/>
              </c:ext>
            </c:extLst>
          </c:dPt>
          <c:dLbls>
            <c:dLbl>
              <c:idx val="0"/>
              <c:layout>
                <c:manualLayout>
                  <c:x val="-1.8606649137347397E-3"/>
                  <c:y val="-1.075580718310068E-2"/>
                </c:manualLayout>
              </c:layout>
              <c:tx>
                <c:rich>
                  <a:bodyPr/>
                  <a:lstStyle/>
                  <a:p>
                    <a:fld id="{347D7C6C-2263-48DB-99E4-0CE8B96368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A49-4AE5-815D-F4FD89DA26DB}"/>
                </c:ext>
              </c:extLst>
            </c:dLbl>
            <c:dLbl>
              <c:idx val="1"/>
              <c:layout>
                <c:manualLayout>
                  <c:x val="-1.3763237031198776E-2"/>
                  <c:y val="-3.35264609262254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9D3C84B-A753-4E27-9C09-3BDB548AAD44}" type="CELLRANGE">
                      <a:rPr lang="en-US"/>
                      <a:pPr>
                        <a:defRPr sz="8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A49-4AE5-815D-F4FD89DA26DB}"/>
                </c:ext>
              </c:extLst>
            </c:dLbl>
            <c:dLbl>
              <c:idx val="2"/>
              <c:layout>
                <c:manualLayout>
                  <c:x val="-7.3942384144673579E-2"/>
                  <c:y val="3.0733448654783051E-2"/>
                </c:manualLayout>
              </c:layout>
              <c:tx>
                <c:rich>
                  <a:bodyPr/>
                  <a:lstStyle/>
                  <a:p>
                    <a:fld id="{A379C52D-86D1-4DCB-85AA-6C612A47E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A49-4AE5-815D-F4FD89DA26DB}"/>
                </c:ext>
              </c:extLst>
            </c:dLbl>
            <c:dLbl>
              <c:idx val="3"/>
              <c:layout>
                <c:manualLayout>
                  <c:x val="5.4378005358421799E-2"/>
                  <c:y val="-4.8806380649710136E-2"/>
                </c:manualLayout>
              </c:layout>
              <c:tx>
                <c:rich>
                  <a:bodyPr/>
                  <a:lstStyle/>
                  <a:p>
                    <a:fld id="{F62E05E5-3E50-4A80-9F7C-9BB95B579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A49-4AE5-815D-F4FD89DA26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B745F0-61F6-462E-ADEB-4162D731F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A49-4AE5-815D-F4FD89DA26DB}"/>
                </c:ext>
              </c:extLst>
            </c:dLbl>
            <c:dLbl>
              <c:idx val="5"/>
              <c:layout>
                <c:manualLayout>
                  <c:x val="-7.8147926376859078E-2"/>
                  <c:y val="3.7645325140852379E-2"/>
                </c:manualLayout>
              </c:layout>
              <c:tx>
                <c:rich>
                  <a:bodyPr/>
                  <a:lstStyle/>
                  <a:p>
                    <a:fld id="{9669E8CE-7448-4184-9654-828E6C28B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A49-4AE5-815D-F4FD89DA26DB}"/>
                </c:ext>
              </c:extLst>
            </c:dLbl>
            <c:dLbl>
              <c:idx val="6"/>
              <c:layout>
                <c:manualLayout>
                  <c:x val="0"/>
                  <c:y val="-1.3444758978875855E-2"/>
                </c:manualLayout>
              </c:layout>
              <c:tx>
                <c:rich>
                  <a:bodyPr/>
                  <a:lstStyle/>
                  <a:p>
                    <a:fld id="{22345254-70B7-4B7E-87D9-4067E6E4C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A49-4AE5-815D-F4FD89DA26DB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D71D22B4-38D1-4D0C-B16E-65BBA418E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A49-4AE5-815D-F4FD89DA26DB}"/>
                </c:ext>
              </c:extLst>
            </c:dLbl>
            <c:dLbl>
              <c:idx val="8"/>
              <c:layout>
                <c:manualLayout>
                  <c:x val="-3.1484059981088969E-2"/>
                  <c:y val="-0.14420829402951948"/>
                </c:manualLayout>
              </c:layout>
              <c:tx>
                <c:rich>
                  <a:bodyPr/>
                  <a:lstStyle/>
                  <a:p>
                    <a:fld id="{59784E9D-6C09-4D5C-A7C2-4B3A2D1B6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A49-4AE5-815D-F4FD89DA26DB}"/>
                </c:ext>
              </c:extLst>
            </c:dLbl>
            <c:dLbl>
              <c:idx val="9"/>
              <c:layout>
                <c:manualLayout>
                  <c:x val="3.729812701367527E-2"/>
                  <c:y val="-0.27158773075758569"/>
                </c:manualLayout>
              </c:layout>
              <c:tx>
                <c:rich>
                  <a:bodyPr/>
                  <a:lstStyle/>
                  <a:p>
                    <a:fld id="{C942D7EE-70F0-48ED-8603-4064B5757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A49-4AE5-815D-F4FD89DA26DB}"/>
                </c:ext>
              </c:extLst>
            </c:dLbl>
            <c:dLbl>
              <c:idx val="10"/>
              <c:layout>
                <c:manualLayout>
                  <c:x val="1.356657711844831E-2"/>
                  <c:y val="-9.5226710756297961E-2"/>
                </c:manualLayout>
              </c:layout>
              <c:tx>
                <c:rich>
                  <a:bodyPr/>
                  <a:lstStyle/>
                  <a:p>
                    <a:fld id="{22444E29-B603-47F0-B062-B89A8AEA8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A49-4AE5-815D-F4FD89DA26DB}"/>
                </c:ext>
              </c:extLst>
            </c:dLbl>
            <c:dLbl>
              <c:idx val="11"/>
              <c:layout>
                <c:manualLayout>
                  <c:x val="-0.1117392437411175"/>
                  <c:y val="-6.4042819193208297E-2"/>
                </c:manualLayout>
              </c:layout>
              <c:tx>
                <c:rich>
                  <a:bodyPr/>
                  <a:lstStyle/>
                  <a:p>
                    <a:fld id="{38DEA05F-162B-4785-9E22-E0A1A8EFC6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A49-4AE5-815D-F4FD89DA26DB}"/>
                </c:ext>
              </c:extLst>
            </c:dLbl>
            <c:dLbl>
              <c:idx val="12"/>
              <c:layout>
                <c:manualLayout>
                  <c:x val="-0.1174891536025091"/>
                  <c:y val="-0.1896133024913994"/>
                </c:manualLayout>
              </c:layout>
              <c:tx>
                <c:rich>
                  <a:bodyPr/>
                  <a:lstStyle/>
                  <a:p>
                    <a:fld id="{ADB6B02D-BEEC-4AC9-98FA-A648DE64B1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A49-4AE5-815D-F4FD89DA26DB}"/>
                </c:ext>
              </c:extLst>
            </c:dLbl>
            <c:dLbl>
              <c:idx val="13"/>
              <c:layout>
                <c:manualLayout>
                  <c:x val="5.3324898319057734E-2"/>
                  <c:y val="-0.20259748508902126"/>
                </c:manualLayout>
              </c:layout>
              <c:tx>
                <c:rich>
                  <a:bodyPr/>
                  <a:lstStyle/>
                  <a:p>
                    <a:fld id="{8F4CF7A5-FDE2-4782-8B45-D727D4C8F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A49-4AE5-815D-F4FD89DA26DB}"/>
                </c:ext>
              </c:extLst>
            </c:dLbl>
            <c:dLbl>
              <c:idx val="14"/>
              <c:layout>
                <c:manualLayout>
                  <c:x val="6.1336291457329273E-2"/>
                  <c:y val="-3.5903166962601367E-2"/>
                </c:manualLayout>
              </c:layout>
              <c:tx>
                <c:rich>
                  <a:bodyPr/>
                  <a:lstStyle/>
                  <a:p>
                    <a:fld id="{8A99A597-69C6-4961-99A5-61901D32E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A49-4AE5-815D-F4FD89DA26DB}"/>
                </c:ext>
              </c:extLst>
            </c:dLbl>
            <c:dLbl>
              <c:idx val="15"/>
              <c:layout>
                <c:manualLayout>
                  <c:x val="-7.0822709373283485E-2"/>
                  <c:y val="-0.1218647260986572"/>
                </c:manualLayout>
              </c:layout>
              <c:tx>
                <c:rich>
                  <a:bodyPr/>
                  <a:lstStyle/>
                  <a:p>
                    <a:fld id="{D1789975-9F19-4032-9440-32A6AA9797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A49-4AE5-815D-F4FD89DA26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A49-4AE5-815D-F4FD89DA26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A49-4AE5-815D-F4FD89DA26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A49-4AE5-815D-F4FD89DA26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A49-4AE5-815D-F4FD89DA26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A49-4AE5-815D-F4FD89DA26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A49-4AE5-815D-F4FD89DA26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A49-4AE5-815D-F4FD89DA26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A49-4AE5-815D-F4FD89DA26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A49-4AE5-815D-F4FD89DA26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A49-4AE5-815D-F4FD89DA26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A49-4AE5-815D-F4FD89DA26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A49-4AE5-815D-F4FD89DA26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A49-4AE5-815D-F4FD89DA26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A49-4AE5-815D-F4FD89DA26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A49-4AE5-815D-F4FD89DA26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A49-4AE5-815D-F4FD89DA26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A49-4AE5-815D-F4FD89DA26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A49-4AE5-815D-F4FD89DA26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A49-4AE5-815D-F4FD89DA26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A49-4AE5-815D-F4FD89DA26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A49-4AE5-815D-F4FD89DA26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A49-4AE5-815D-F4FD89DA26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A49-4AE5-815D-F4FD89DA26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A49-4AE5-815D-F4FD89DA26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A49-4AE5-815D-F4FD89DA26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A49-4AE5-815D-F4FD89DA26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A49-4AE5-815D-F4FD89DA26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A49-4AE5-815D-F4FD89DA26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A49-4AE5-815D-F4FD89DA26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A49-4AE5-815D-F4FD89DA26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A49-4AE5-815D-F4FD89DA26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A49-4AE5-815D-F4FD89DA26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A49-4AE5-815D-F4FD89DA26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A49-4AE5-815D-F4FD89DA26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A49-4AE5-815D-F4FD89DA26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A49-4AE5-815D-F4FD89DA2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precision!$E$2:$E$53</c:f>
              <c:numCache>
                <c:formatCode>0.000</c:formatCode>
                <c:ptCount val="52"/>
                <c:pt idx="0">
                  <c:v>0.64600000000000002</c:v>
                </c:pt>
                <c:pt idx="1">
                  <c:v>0.64500000000000002</c:v>
                </c:pt>
                <c:pt idx="2">
                  <c:v>0.63600000000000001</c:v>
                </c:pt>
                <c:pt idx="3">
                  <c:v>0.64233333333333331</c:v>
                </c:pt>
                <c:pt idx="4">
                  <c:v>0.67300000000000004</c:v>
                </c:pt>
                <c:pt idx="5">
                  <c:v>0.65900000000000003</c:v>
                </c:pt>
                <c:pt idx="6">
                  <c:v>0.66</c:v>
                </c:pt>
                <c:pt idx="7">
                  <c:v>0.66400000000000003</c:v>
                </c:pt>
                <c:pt idx="8">
                  <c:v>0.60799999999999998</c:v>
                </c:pt>
                <c:pt idx="9">
                  <c:v>0.54</c:v>
                </c:pt>
                <c:pt idx="10">
                  <c:v>0.61099999999999999</c:v>
                </c:pt>
                <c:pt idx="11">
                  <c:v>0.58633333333333337</c:v>
                </c:pt>
                <c:pt idx="12">
                  <c:v>0.60699999999999998</c:v>
                </c:pt>
                <c:pt idx="13">
                  <c:v>0.53700000000000003</c:v>
                </c:pt>
                <c:pt idx="14">
                  <c:v>0.624</c:v>
                </c:pt>
                <c:pt idx="15">
                  <c:v>0.58933333333333338</c:v>
                </c:pt>
              </c:numCache>
            </c:numRef>
          </c:xVal>
          <c:yVal>
            <c:numRef>
              <c:f>precision!$I$2:$I$53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precision!$B$2:$B$17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7A49-4AE5-815D-F4FD89DA26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68000000000000016"/>
          <c:min val="0.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200"/>
                  <a:t>Precision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200"/>
                  <a:t>Time (min)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#REF!$F$1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#REF!$F$2:$F$53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6-4055-9E44-F18491841075}"/>
            </c:ext>
          </c:extLst>
        </c:ser>
        <c:ser>
          <c:idx val="1"/>
          <c:order val="1"/>
          <c:tx>
            <c:strRef>
              <c:f>#REF!$G$1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#REF!$G$2:$G$53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6-4055-9E44-F18491841075}"/>
            </c:ext>
          </c:extLst>
        </c:ser>
        <c:ser>
          <c:idx val="2"/>
          <c:order val="2"/>
          <c:tx>
            <c:strRef>
              <c:f>#REF!$H$1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#REF!$E$2:$E$53</c:f>
            </c:numRef>
          </c:xVal>
          <c:yVal>
            <c:numRef>
              <c:f>#REF!$H$2:$H$53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6-4055-9E44-F18491841075}"/>
            </c:ext>
          </c:extLst>
        </c:ser>
        <c:ser>
          <c:idx val="3"/>
          <c:order val="3"/>
          <c:tx>
            <c:strRef>
              <c:f>recall!$I$1</c:f>
              <c:strCache>
                <c:ptCount val="1"/>
                <c:pt idx="0">
                  <c:v>total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276-4055-9E44-F1849184107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276-4055-9E44-F1849184107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276-4055-9E44-F1849184107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276-4055-9E44-F1849184107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276-4055-9E44-F1849184107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276-4055-9E44-F1849184107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276-4055-9E44-F18491841075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276-4055-9E44-F1849184107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276-4055-9E44-F1849184107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276-4055-9E44-F1849184107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276-4055-9E44-F18491841075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276-4055-9E44-F1849184107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276-4055-9E44-F1849184107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276-4055-9E44-F18491841075}"/>
              </c:ext>
            </c:extLst>
          </c:dPt>
          <c:dLbls>
            <c:dLbl>
              <c:idx val="0"/>
              <c:layout>
                <c:manualLayout>
                  <c:x val="-1.8019297173765883E-3"/>
                  <c:y val="3.3703892204085484E-2"/>
                </c:manualLayout>
              </c:layout>
              <c:tx>
                <c:rich>
                  <a:bodyPr/>
                  <a:lstStyle/>
                  <a:p>
                    <a:fld id="{A6D3D48E-151C-4CE3-944F-C6B27A7D6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76-4055-9E44-F18491841075}"/>
                </c:ext>
              </c:extLst>
            </c:dLbl>
            <c:dLbl>
              <c:idx val="1"/>
              <c:layout>
                <c:manualLayout>
                  <c:x val="-1.3763243461708183E-2"/>
                  <c:y val="-0.1489009286524778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D52A4D-94A0-4DCA-84E6-EB519155348F}" type="CELLRANGE">
                      <a:rPr lang="en-US"/>
                      <a:pPr>
                        <a:defRPr sz="800"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44234404536862"/>
                      <c:h val="5.27299489016776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276-4055-9E44-F18491841075}"/>
                </c:ext>
              </c:extLst>
            </c:dLbl>
            <c:dLbl>
              <c:idx val="2"/>
              <c:layout>
                <c:manualLayout>
                  <c:x val="-0.14657197379204134"/>
                  <c:y val="-3.8061435259144953E-2"/>
                </c:manualLayout>
              </c:layout>
              <c:tx>
                <c:rich>
                  <a:bodyPr/>
                  <a:lstStyle/>
                  <a:p>
                    <a:fld id="{BB2A0FB7-C76D-4FAF-B169-B47F7C081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276-4055-9E44-F18491841075}"/>
                </c:ext>
              </c:extLst>
            </c:dLbl>
            <c:dLbl>
              <c:idx val="3"/>
              <c:layout>
                <c:manualLayout>
                  <c:x val="-0.10056488154749736"/>
                  <c:y val="-0.13093163895591348"/>
                </c:manualLayout>
              </c:layout>
              <c:tx>
                <c:rich>
                  <a:bodyPr/>
                  <a:lstStyle/>
                  <a:p>
                    <a:fld id="{2BBD4AED-DC65-49EA-9C0E-CEFB2F5FE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276-4055-9E44-F18491841075}"/>
                </c:ext>
              </c:extLst>
            </c:dLbl>
            <c:dLbl>
              <c:idx val="4"/>
              <c:layout>
                <c:manualLayout>
                  <c:x val="-0.10109351400641939"/>
                  <c:y val="-2.4860412809400357E-17"/>
                </c:manualLayout>
              </c:layout>
              <c:tx>
                <c:rich>
                  <a:bodyPr/>
                  <a:lstStyle/>
                  <a:p>
                    <a:fld id="{FD73DAC9-EC3F-4C80-9F24-4CDBD882D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276-4055-9E44-F18491841075}"/>
                </c:ext>
              </c:extLst>
            </c:dLbl>
            <c:dLbl>
              <c:idx val="5"/>
              <c:layout>
                <c:manualLayout>
                  <c:x val="-2.0112715288057689E-2"/>
                  <c:y val="3.4933251956805807E-2"/>
                </c:manualLayout>
              </c:layout>
              <c:tx>
                <c:rich>
                  <a:bodyPr/>
                  <a:lstStyle/>
                  <a:p>
                    <a:fld id="{A3520947-D22C-4929-99FC-65FCBE826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276-4055-9E44-F18491841075}"/>
                </c:ext>
              </c:extLst>
            </c:dLbl>
            <c:dLbl>
              <c:idx val="6"/>
              <c:layout>
                <c:manualLayout>
                  <c:x val="0"/>
                  <c:y val="-1.3444758978875855E-2"/>
                </c:manualLayout>
              </c:layout>
              <c:tx>
                <c:rich>
                  <a:bodyPr/>
                  <a:lstStyle/>
                  <a:p>
                    <a:fld id="{63575855-3142-4EE5-BDC7-2226CBC24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276-4055-9E44-F18491841075}"/>
                </c:ext>
              </c:extLst>
            </c:dLbl>
            <c:dLbl>
              <c:idx val="7"/>
              <c:layout>
                <c:manualLayout>
                  <c:x val="-0.17800850604756788"/>
                  <c:y val="-5.6725913022393652E-2"/>
                </c:manualLayout>
              </c:layout>
              <c:tx>
                <c:rich>
                  <a:bodyPr/>
                  <a:lstStyle/>
                  <a:p>
                    <a:fld id="{B68AD31C-F9FC-44DB-BAB5-8FD68BB8A3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276-4055-9E44-F18491841075}"/>
                </c:ext>
              </c:extLst>
            </c:dLbl>
            <c:dLbl>
              <c:idx val="8"/>
              <c:layout>
                <c:manualLayout>
                  <c:x val="-0.10804994500240683"/>
                  <c:y val="-0.10293071327698539"/>
                </c:manualLayout>
              </c:layout>
              <c:tx>
                <c:rich>
                  <a:bodyPr/>
                  <a:lstStyle/>
                  <a:p>
                    <a:fld id="{744AFCBB-88B2-42DB-A38C-71D6644F6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276-4055-9E44-F18491841075}"/>
                </c:ext>
              </c:extLst>
            </c:dLbl>
            <c:dLbl>
              <c:idx val="9"/>
              <c:layout>
                <c:manualLayout>
                  <c:x val="-0.10871510068359623"/>
                  <c:y val="-4.0767796371321365E-2"/>
                </c:manualLayout>
              </c:layout>
              <c:tx>
                <c:rich>
                  <a:bodyPr/>
                  <a:lstStyle/>
                  <a:p>
                    <a:fld id="{54333239-79D8-4FBA-AA4E-A5D921461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276-4055-9E44-F18491841075}"/>
                </c:ext>
              </c:extLst>
            </c:dLbl>
            <c:dLbl>
              <c:idx val="10"/>
              <c:layout>
                <c:manualLayout>
                  <c:x val="-2.5634395167428343E-2"/>
                  <c:y val="-0.25763672896424539"/>
                </c:manualLayout>
              </c:layout>
              <c:tx>
                <c:rich>
                  <a:bodyPr/>
                  <a:lstStyle/>
                  <a:p>
                    <a:fld id="{B1BAF26E-81DE-448A-9399-10788D0AD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276-4055-9E44-F18491841075}"/>
                </c:ext>
              </c:extLst>
            </c:dLbl>
            <c:dLbl>
              <c:idx val="11"/>
              <c:layout>
                <c:manualLayout>
                  <c:x val="-0.10829238217052847"/>
                  <c:y val="-4.5415368252574168E-2"/>
                </c:manualLayout>
              </c:layout>
              <c:tx>
                <c:rich>
                  <a:bodyPr/>
                  <a:lstStyle/>
                  <a:p>
                    <a:fld id="{2FF049DD-91CC-4CFC-B8A1-DD0E2F6A28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276-4055-9E44-F18491841075}"/>
                </c:ext>
              </c:extLst>
            </c:dLbl>
            <c:dLbl>
              <c:idx val="12"/>
              <c:layout>
                <c:manualLayout>
                  <c:x val="-4.8350455151480516E-2"/>
                  <c:y val="-8.6808471944559248E-2"/>
                </c:manualLayout>
              </c:layout>
              <c:tx>
                <c:rich>
                  <a:bodyPr/>
                  <a:lstStyle/>
                  <a:p>
                    <a:fld id="{165A2A1F-718A-4095-B467-656BF3E6F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276-4055-9E44-F18491841075}"/>
                </c:ext>
              </c:extLst>
            </c:dLbl>
            <c:dLbl>
              <c:idx val="13"/>
              <c:layout>
                <c:manualLayout>
                  <c:x val="8.7207889542644211E-3"/>
                  <c:y val="-3.9410007424344952E-2"/>
                </c:manualLayout>
              </c:layout>
              <c:tx>
                <c:rich>
                  <a:bodyPr/>
                  <a:lstStyle/>
                  <a:p>
                    <a:fld id="{FEC1639B-D16D-4769-801D-09E93F165A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276-4055-9E44-F18491841075}"/>
                </c:ext>
              </c:extLst>
            </c:dLbl>
            <c:dLbl>
              <c:idx val="14"/>
              <c:layout>
                <c:manualLayout>
                  <c:x val="-4.8799673343425991E-2"/>
                  <c:y val="-3.865590521339056E-2"/>
                </c:manualLayout>
              </c:layout>
              <c:tx>
                <c:rich>
                  <a:bodyPr/>
                  <a:lstStyle/>
                  <a:p>
                    <a:fld id="{FE49B88F-C0C6-465C-894A-3B33D26FEB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276-4055-9E44-F18491841075}"/>
                </c:ext>
              </c:extLst>
            </c:dLbl>
            <c:dLbl>
              <c:idx val="15"/>
              <c:layout>
                <c:manualLayout>
                  <c:x val="-7.8557006905482424E-2"/>
                  <c:y val="-7.4988396692206152E-2"/>
                </c:manualLayout>
              </c:layout>
              <c:tx>
                <c:rich>
                  <a:bodyPr/>
                  <a:lstStyle/>
                  <a:p>
                    <a:fld id="{4A339D5D-0780-4260-A6FC-95EFA9EB7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276-4055-9E44-F1849184107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276-4055-9E44-F1849184107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276-4055-9E44-F1849184107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276-4055-9E44-F184918410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276-4055-9E44-F1849184107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276-4055-9E44-F1849184107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276-4055-9E44-F1849184107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76-4055-9E44-F1849184107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276-4055-9E44-F1849184107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276-4055-9E44-F1849184107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276-4055-9E44-F1849184107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276-4055-9E44-F1849184107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276-4055-9E44-F1849184107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276-4055-9E44-F1849184107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276-4055-9E44-F1849184107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4276-4055-9E44-F1849184107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276-4055-9E44-F1849184107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276-4055-9E44-F1849184107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4276-4055-9E44-F1849184107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4276-4055-9E44-F1849184107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276-4055-9E44-F1849184107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276-4055-9E44-F1849184107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4276-4055-9E44-F1849184107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4276-4055-9E44-F1849184107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4276-4055-9E44-F1849184107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4276-4055-9E44-F1849184107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4276-4055-9E44-F1849184107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4276-4055-9E44-F1849184107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4276-4055-9E44-F1849184107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4276-4055-9E44-F1849184107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4276-4055-9E44-F1849184107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4276-4055-9E44-F1849184107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4276-4055-9E44-F1849184107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4276-4055-9E44-F1849184107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4276-4055-9E44-F1849184107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4276-4055-9E44-F1849184107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4276-4055-9E44-F184918410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recall!$E$2:$E$53</c:f>
              <c:numCache>
                <c:formatCode>0.000</c:formatCode>
                <c:ptCount val="52"/>
                <c:pt idx="0">
                  <c:v>0.93200000000000005</c:v>
                </c:pt>
                <c:pt idx="1">
                  <c:v>0.95399999999999996</c:v>
                </c:pt>
                <c:pt idx="2">
                  <c:v>0.92600000000000005</c:v>
                </c:pt>
                <c:pt idx="3">
                  <c:v>0.93733333333333346</c:v>
                </c:pt>
                <c:pt idx="4">
                  <c:v>0.90400000000000003</c:v>
                </c:pt>
                <c:pt idx="5">
                  <c:v>0.93300000000000005</c:v>
                </c:pt>
                <c:pt idx="6">
                  <c:v>0.93300000000000005</c:v>
                </c:pt>
                <c:pt idx="7">
                  <c:v>0.92333333333333345</c:v>
                </c:pt>
                <c:pt idx="8">
                  <c:v>0.88700000000000001</c:v>
                </c:pt>
                <c:pt idx="9">
                  <c:v>0.876</c:v>
                </c:pt>
                <c:pt idx="10">
                  <c:v>0.57899999999999996</c:v>
                </c:pt>
                <c:pt idx="11">
                  <c:v>0.78066666666666651</c:v>
                </c:pt>
                <c:pt idx="12">
                  <c:v>0.90600000000000003</c:v>
                </c:pt>
                <c:pt idx="13">
                  <c:v>0.90800000000000003</c:v>
                </c:pt>
                <c:pt idx="14">
                  <c:v>0.60399999999999998</c:v>
                </c:pt>
                <c:pt idx="15">
                  <c:v>0.80600000000000005</c:v>
                </c:pt>
              </c:numCache>
            </c:numRef>
          </c:xVal>
          <c:yVal>
            <c:numRef>
              <c:f>recall!$I$2:$I$53</c:f>
              <c:numCache>
                <c:formatCode>0.00</c:formatCode>
                <c:ptCount val="52"/>
                <c:pt idx="0">
                  <c:v>25.715833333333332</c:v>
                </c:pt>
                <c:pt idx="1">
                  <c:v>42.181000000000004</c:v>
                </c:pt>
                <c:pt idx="2">
                  <c:v>25.454999999999998</c:v>
                </c:pt>
                <c:pt idx="3">
                  <c:v>28.476499999999998</c:v>
                </c:pt>
                <c:pt idx="4">
                  <c:v>93.432166666666674</c:v>
                </c:pt>
                <c:pt idx="5">
                  <c:v>88.270499999999998</c:v>
                </c:pt>
                <c:pt idx="6">
                  <c:v>114.24316666666667</c:v>
                </c:pt>
                <c:pt idx="7">
                  <c:v>98.648666666666671</c:v>
                </c:pt>
                <c:pt idx="8">
                  <c:v>0.42749999999999999</c:v>
                </c:pt>
                <c:pt idx="9">
                  <c:v>0.40866666666666668</c:v>
                </c:pt>
                <c:pt idx="10">
                  <c:v>0.40166666666666667</c:v>
                </c:pt>
                <c:pt idx="11">
                  <c:v>0.41249999999999998</c:v>
                </c:pt>
                <c:pt idx="12">
                  <c:v>1.2383333333333333</c:v>
                </c:pt>
                <c:pt idx="13">
                  <c:v>0.7403333333333334</c:v>
                </c:pt>
                <c:pt idx="14">
                  <c:v>1.2388333333333332</c:v>
                </c:pt>
                <c:pt idx="15">
                  <c:v>1.0725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recall!$B$2:$B$17</c15:f>
                <c15:dlblRangeCache>
                  <c:ptCount val="16"/>
                  <c:pt idx="0">
                    <c:v>all-mpnet-base-v2</c:v>
                  </c:pt>
                  <c:pt idx="1">
                    <c:v>splade-cocondenser-ensembledistil</c:v>
                  </c:pt>
                  <c:pt idx="2">
                    <c:v>bert-base-uncased</c:v>
                  </c:pt>
                  <c:pt idx="3">
                    <c:v>Fine-tuning average</c:v>
                  </c:pt>
                  <c:pt idx="4">
                    <c:v>Ensemble 1</c:v>
                  </c:pt>
                  <c:pt idx="5">
                    <c:v>Ensemble 2</c:v>
                  </c:pt>
                  <c:pt idx="6">
                    <c:v>Ensemble 3</c:v>
                  </c:pt>
                  <c:pt idx="7">
                    <c:v>Ensemble average</c:v>
                  </c:pt>
                  <c:pt idx="8">
                    <c:v>gpt-4 (ZSL)</c:v>
                  </c:pt>
                  <c:pt idx="9">
                    <c:v>gpt-3.5-turbo (ZSL)</c:v>
                  </c:pt>
                  <c:pt idx="10">
                    <c:v>gpt-4o-mini (ZSL)</c:v>
                  </c:pt>
                  <c:pt idx="11">
                    <c:v>ZSL average</c:v>
                  </c:pt>
                  <c:pt idx="12">
                    <c:v>gpt-4 (ZSL + CoT)</c:v>
                  </c:pt>
                  <c:pt idx="13">
                    <c:v>gpt-3.5-turbo (ZSL + CoT)</c:v>
                  </c:pt>
                  <c:pt idx="14">
                    <c:v>gpt-4o-mini (ZSL + CoT)</c:v>
                  </c:pt>
                  <c:pt idx="15">
                    <c:v>ZSL + CoT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4276-4055-9E44-F184918410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9137808"/>
        <c:axId val="1899138288"/>
      </c:scatterChart>
      <c:valAx>
        <c:axId val="1899137808"/>
        <c:scaling>
          <c:orientation val="minMax"/>
          <c:max val="0.96000000000000008"/>
          <c:min val="0.570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200"/>
                  <a:t>Odziv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8288"/>
        <c:crosses val="autoZero"/>
        <c:crossBetween val="midCat"/>
        <c:majorUnit val="2.0000000000000004E-2"/>
      </c:valAx>
      <c:valAx>
        <c:axId val="1899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 sz="1200"/>
                  <a:t>Vrijeme (min)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13780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26277381065934"/>
          <c:y val="2.7627634595889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1-427F-8BFF-726B404198D7}"/>
            </c:ext>
          </c:extLst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91-427F-8BFF-726B404198D7}"/>
            </c:ext>
          </c:extLst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91-427F-8BFF-726B404198D7}"/>
            </c:ext>
          </c:extLst>
        </c:ser>
        <c:ser>
          <c:idx val="3"/>
          <c:order val="3"/>
          <c:tx>
            <c:strRef>
              <c:f>Sheet1!$B$3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Sheet1!$C$3:$F$3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0.90400000000000003</c:v>
                </c:pt>
                <c:pt idx="3" formatCode="0.000">
                  <c:v>0.90200000000000002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91-427F-8BFF-726B404198D7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91-427F-8BFF-726B404198D7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91-427F-8BFF-726B404198D7}"/>
            </c:ext>
          </c:extLst>
        </c:ser>
        <c:ser>
          <c:idx val="6"/>
          <c:order val="6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91-427F-8BFF-726B404198D7}"/>
            </c:ext>
          </c:extLst>
        </c:ser>
        <c:ser>
          <c:idx val="7"/>
          <c:order val="7"/>
          <c:tx>
            <c:strRef>
              <c:f>Sheet1!$B$4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Sheet1!$C$4:$F$4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0.88700000000000001</c:v>
                </c:pt>
                <c:pt idx="3" formatCode="0.000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91-427F-8BFF-726B404198D7}"/>
            </c:ext>
          </c:extLst>
        </c:ser>
        <c:ser>
          <c:idx val="8"/>
          <c:order val="8"/>
          <c:tx>
            <c:strRef>
              <c:f>Sheet1!$B$5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Sheet1!$C$5:$F$5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0.876</c:v>
                </c:pt>
                <c:pt idx="3" formatCode="0.000">
                  <c:v>0.73899999999999999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091-427F-8BFF-726B404198D7}"/>
            </c:ext>
          </c:extLst>
        </c:ser>
        <c:ser>
          <c:idx val="9"/>
          <c:order val="9"/>
          <c:tx>
            <c:strRef>
              <c:f>Sheet1!$B$6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Sheet1!$C$6:$F$6</c:f>
              <c:numCache>
                <c:formatCode>General</c:formatCode>
                <c:ptCount val="4"/>
                <c:pt idx="2" formatCode="0.000">
                  <c:v>0.57899999999999996</c:v>
                </c:pt>
                <c:pt idx="3" formatCode="0.000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91-427F-8BFF-726B404198D7}"/>
            </c:ext>
          </c:extLst>
        </c:ser>
        <c:ser>
          <c:idx val="10"/>
          <c:order val="10"/>
          <c:tx>
            <c:strRef>
              <c:f>Sheet1!$B$7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Sheet1!$C$7:$F$7</c:f>
              <c:numCache>
                <c:formatCode>General</c:formatCode>
                <c:ptCount val="4"/>
                <c:pt idx="2" formatCode="0.000">
                  <c:v>0.78066666666666651</c:v>
                </c:pt>
                <c:pt idx="3" formatCode="0.000">
                  <c:v>0.754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091-427F-8BFF-726B404198D7}"/>
            </c:ext>
          </c:extLst>
        </c:ser>
        <c:ser>
          <c:idx val="11"/>
          <c:order val="11"/>
          <c:tx>
            <c:strRef>
              <c:f>Sheet1!$B$8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Sheet1!$C$8:$F$8</c:f>
              <c:numCache>
                <c:formatCode>General</c:formatCode>
                <c:ptCount val="4"/>
                <c:pt idx="1">
                  <c:v>0</c:v>
                </c:pt>
                <c:pt idx="2" formatCode="0.000">
                  <c:v>0.90600000000000003</c:v>
                </c:pt>
                <c:pt idx="3" formatCode="0.000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091-427F-8BFF-726B404198D7}"/>
            </c:ext>
          </c:extLst>
        </c:ser>
        <c:ser>
          <c:idx val="12"/>
          <c:order val="12"/>
          <c:tx>
            <c:strRef>
              <c:f>Sheet1!$B$9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Sheet1!$C$9:$F$9</c:f>
              <c:numCache>
                <c:formatCode>General</c:formatCode>
                <c:ptCount val="4"/>
                <c:pt idx="2" formatCode="0.000">
                  <c:v>0.90800000000000003</c:v>
                </c:pt>
                <c:pt idx="3" formatCode="0.000">
                  <c:v>0.76100000000000001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091-427F-8BFF-726B404198D7}"/>
            </c:ext>
          </c:extLst>
        </c:ser>
        <c:ser>
          <c:idx val="13"/>
          <c:order val="13"/>
          <c:tx>
            <c:strRef>
              <c:f>Sheet1!$B$10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Sheet1!$C$10:$F$10</c:f>
              <c:numCache>
                <c:formatCode>General</c:formatCode>
                <c:ptCount val="4"/>
                <c:pt idx="2" formatCode="0.000">
                  <c:v>0.60399999999999998</c:v>
                </c:pt>
                <c:pt idx="3" formatCode="0.000">
                  <c:v>0.72499999999999998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091-427F-8BFF-726B404198D7}"/>
            </c:ext>
          </c:extLst>
        </c:ser>
        <c:ser>
          <c:idx val="14"/>
          <c:order val="14"/>
          <c:tx>
            <c:strRef>
              <c:f>Sheet1!$B$11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multiLvlStrRef>
              <c:f>Sheet1!$C$1:$F$2</c:f>
              <c:multiLvlStrCache>
                <c:ptCount val="4"/>
                <c:lvl>
                  <c:pt idx="1">
                    <c:v>Fine-tuned models</c:v>
                  </c:pt>
                  <c:pt idx="2">
                    <c:v>0,932</c:v>
                  </c:pt>
                  <c:pt idx="3">
                    <c:v>0,929</c:v>
                  </c:pt>
                </c:lvl>
                <c:lvl>
                  <c:pt idx="2">
                    <c:v>recall</c:v>
                  </c:pt>
                  <c:pt idx="3">
                    <c:v>auc</c:v>
                  </c:pt>
                </c:lvl>
              </c:multiLvlStrCache>
            </c:multiLvlStrRef>
          </c:xVal>
          <c:yVal>
            <c:numRef>
              <c:f>Sheet1!$C$11:$F$11</c:f>
              <c:numCache>
                <c:formatCode>General</c:formatCode>
                <c:ptCount val="4"/>
                <c:pt idx="2" formatCode="0.000">
                  <c:v>0.80600000000000005</c:v>
                </c:pt>
                <c:pt idx="3" formatCode="0.000">
                  <c:v>0.76500000000000001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091-427F-8BFF-726B40419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078671"/>
        <c:axId val="769062351"/>
      </c:scatterChart>
      <c:valAx>
        <c:axId val="76907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62351"/>
        <c:crosses val="autoZero"/>
        <c:crossBetween val="midCat"/>
      </c:valAx>
      <c:valAx>
        <c:axId val="7690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78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F-4F0D-9743-0B5F9AF888A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Sheet1!$B$2:$B$11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DF-4F0D-9743-0B5F9AF888A7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Sheet1!$C$2:$C$11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DF-4F0D-9743-0B5F9AF88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286239"/>
        <c:axId val="1164294399"/>
      </c:scatterChart>
      <c:valAx>
        <c:axId val="116428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94399"/>
        <c:crosses val="autoZero"/>
        <c:crossBetween val="midCat"/>
      </c:valAx>
      <c:valAx>
        <c:axId val="11642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8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799001122604462E-2"/>
          <c:y val="9.4850987799974099E-2"/>
          <c:w val="0.66990687809021321"/>
          <c:h val="0.4718150143662971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Fine-tuned models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strRef>
              <c:f>Sheet1!$E$1:$F$1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Sheet1!$E$2:$F$2</c:f>
              <c:numCache>
                <c:formatCode>0.000</c:formatCode>
                <c:ptCount val="2"/>
                <c:pt idx="0">
                  <c:v>0.93200000000000005</c:v>
                </c:pt>
                <c:pt idx="1">
                  <c:v>0.92900000000000005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BC-424A-8958-8EA5F22B671B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Fine-tuned ensembles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strRef>
              <c:f>Sheet1!$E$1:$F$1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Sheet1!$E$3:$F$3</c:f>
              <c:numCache>
                <c:formatCode>0.000</c:formatCode>
                <c:ptCount val="2"/>
                <c:pt idx="0">
                  <c:v>0.90400000000000003</c:v>
                </c:pt>
                <c:pt idx="1">
                  <c:v>0.90200000000000002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BC-424A-8958-8EA5F22B671B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Zero-shot learning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strRef>
              <c:f>Sheet1!$E$1:$F$1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Sheet1!$E$4:$F$4</c:f>
              <c:numCache>
                <c:formatCode>0.000</c:formatCode>
                <c:ptCount val="2"/>
                <c:pt idx="0">
                  <c:v>0.88700000000000001</c:v>
                </c:pt>
                <c:pt idx="1">
                  <c:v>0.80900000000000005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BC-424A-8958-8EA5F22B671B}"/>
            </c:ext>
          </c:extLst>
        </c:ser>
        <c:ser>
          <c:idx val="3"/>
          <c:order val="3"/>
          <c:tx>
            <c:strRef>
              <c:f>Sheet1!$D$5</c:f>
              <c:strCache>
                <c:ptCount val="1"/>
                <c:pt idx="0">
                  <c:v>Zero-shot learning and chain-of-thought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strRef>
              <c:f>Sheet1!$E$1:$F$1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Sheet1!$E$5:$F$5</c:f>
              <c:numCache>
                <c:formatCode>0.000</c:formatCode>
                <c:ptCount val="2"/>
                <c:pt idx="0">
                  <c:v>0.876</c:v>
                </c:pt>
                <c:pt idx="1">
                  <c:v>0.73899999999999999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BC-424A-8958-8EA5F22B671B}"/>
            </c:ext>
          </c:extLst>
        </c:ser>
        <c:ser>
          <c:idx val="4"/>
          <c:order val="4"/>
          <c:tx>
            <c:strRef>
              <c:f>Sheet1!$D$6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Sheet1!$E$1:$F$1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Sheet1!$E$6:$F$6</c:f>
              <c:numCache>
                <c:formatCode>0.000</c:formatCode>
                <c:ptCount val="2"/>
                <c:pt idx="0">
                  <c:v>0.57899999999999996</c:v>
                </c:pt>
                <c:pt idx="1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4B-4D7D-AD69-6A3D441FD2D0}"/>
            </c:ext>
          </c:extLst>
        </c:ser>
        <c:ser>
          <c:idx val="5"/>
          <c:order val="5"/>
          <c:tx>
            <c:strRef>
              <c:f>Sheet1!$D$7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Sheet1!$E$1:$F$1</c:f>
              <c:strCache>
                <c:ptCount val="2"/>
                <c:pt idx="0">
                  <c:v>recall</c:v>
                </c:pt>
                <c:pt idx="1">
                  <c:v>auc</c:v>
                </c:pt>
              </c:strCache>
            </c:strRef>
          </c:xVal>
          <c:yVal>
            <c:numRef>
              <c:f>Sheet1!$E$7:$F$7</c:f>
              <c:numCache>
                <c:formatCode>0.000</c:formatCode>
                <c:ptCount val="2"/>
                <c:pt idx="0">
                  <c:v>0.78066666666666651</c:v>
                </c:pt>
                <c:pt idx="1">
                  <c:v>0.754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B-4D7D-AD69-6A3D441FD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793967"/>
        <c:axId val="1631798767"/>
      </c:scatterChart>
      <c:valAx>
        <c:axId val="163179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98767"/>
        <c:crosses val="autoZero"/>
        <c:crossBetween val="midCat"/>
      </c:valAx>
      <c:valAx>
        <c:axId val="16317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9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47825376059402"/>
          <c:y val="0.40429133409041368"/>
          <c:w val="0.14428906513078335"/>
          <c:h val="0.25786266311134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11205</xdr:rowOff>
    </xdr:from>
    <xdr:to>
      <xdr:col>14</xdr:col>
      <xdr:colOff>11205</xdr:colOff>
      <xdr:row>49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9DAF2-A951-4CC1-B33F-C5ABD83A4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0.70399</cdr:x>
      <cdr:y>0.06847</cdr:y>
    </cdr:from>
    <cdr:to>
      <cdr:x>0.74783</cdr:x>
      <cdr:y>0.2556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>
          <a:off x="6576391" y="386359"/>
          <a:ext cx="409480" cy="1056033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0.78288</cdr:x>
      <cdr:y>0.57263</cdr:y>
    </cdr:from>
    <cdr:to>
      <cdr:x>0.84813</cdr:x>
      <cdr:y>0.70473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6200000">
          <a:off x="7265160" y="3260688"/>
          <a:ext cx="737585" cy="61080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0.08246</cdr:x>
      <cdr:y>0.85957</cdr:y>
    </cdr:from>
    <cdr:to>
      <cdr:x>0.40076</cdr:x>
      <cdr:y>0.87498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770305" y="4850668"/>
          <a:ext cx="2973433" cy="8698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0.11837</cdr:x>
      <cdr:y>0.85517</cdr:y>
    </cdr:from>
    <cdr:to>
      <cdr:x>0.40608</cdr:x>
      <cdr:y>0.87058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105729" y="4825838"/>
          <a:ext cx="2687705" cy="86967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0.83933</cdr:x>
      <cdr:y>0.36745</cdr:y>
    </cdr:from>
    <cdr:to>
      <cdr:x>0.99276</cdr:x>
      <cdr:y>0.6337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682C128F-16FE-66F2-2C41-6A7FA92CFA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772" b="92105" l="7962" r="97771">
                      <a14:foregroundMark x1="36306" y1="30702" x2="72293" y2="19006"/>
                      <a14:foregroundMark x1="72293" y1="19006" x2="7006" y2="11696"/>
                      <a14:foregroundMark x1="7006" y1="11696" x2="57962" y2="29240"/>
                      <a14:foregroundMark x1="57962" y1="29240" x2="24204" y2="33626"/>
                      <a14:foregroundMark x1="24204" y1="33626" x2="65287" y2="35673"/>
                      <a14:foregroundMark x1="65287" y1="35673" x2="37261" y2="61111"/>
                      <a14:foregroundMark x1="37261" y1="61111" x2="72930" y2="52047"/>
                      <a14:foregroundMark x1="72930" y1="52047" x2="36306" y2="56433"/>
                      <a14:foregroundMark x1="36306" y1="56433" x2="8280" y2="79240"/>
                      <a14:foregroundMark x1="8280" y1="79240" x2="56051" y2="94444"/>
                      <a14:foregroundMark x1="56051" y1="94444" x2="96497" y2="86550"/>
                      <a14:foregroundMark x1="96497" y1="86550" x2="65287" y2="67251"/>
                      <a14:foregroundMark x1="8280" y1="57895" x2="67197" y2="57895"/>
                      <a14:foregroundMark x1="67197" y1="57895" x2="28662" y2="56725"/>
                      <a14:foregroundMark x1="28662" y1="56725" x2="74841" y2="36842"/>
                      <a14:foregroundMark x1="74841" y1="36842" x2="75159" y2="33333"/>
                      <a14:foregroundMark x1="13057" y1="12865" x2="50000" y2="11404"/>
                      <a14:foregroundMark x1="50000" y1="11404" x2="51592" y2="10234"/>
                      <a14:foregroundMark x1="74522" y1="14620" x2="42357" y2="11988"/>
                      <a14:foregroundMark x1="79299" y1="9064" x2="44268" y2="11111"/>
                      <a14:foregroundMark x1="79299" y1="13743" x2="28981" y2="8772"/>
                      <a14:foregroundMark x1="9236" y1="9942" x2="26752" y2="11696"/>
                      <a14:foregroundMark x1="15287" y1="91520" x2="67516" y2="89181"/>
                      <a14:foregroundMark x1="67516" y1="89181" x2="75478" y2="89766"/>
                      <a14:foregroundMark x1="88217" y1="35088" x2="87898" y2="33041"/>
                      <a14:foregroundMark x1="91720" y1="34211" x2="79618" y2="32456"/>
                      <a14:foregroundMark x1="78025" y1="36842" x2="97134" y2="37135"/>
                      <a14:foregroundMark x1="97771" y1="33333" x2="85032" y2="30702"/>
                      <a14:foregroundMark x1="12102" y1="32164" x2="10510" y2="33626"/>
                      <a14:foregroundMark x1="15605" y1="87427" x2="14650" y2="88596"/>
                      <a14:foregroundMark x1="57325" y1="90643" x2="76752" y2="92105"/>
                      <a14:backgroundMark x1="4610" y1="87974" x2="1911" y2="92105"/>
                    </a14:backgroundRemoval>
                  </a14:imgEffect>
                </a14:imgLayer>
              </a14:imgProps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77054" y="2040290"/>
          <a:ext cx="1439964" cy="14783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0.84999</cdr:x>
      <cdr:y>0.49435</cdr:y>
    </cdr:from>
    <cdr:to>
      <cdr:x>0.99543</cdr:x>
      <cdr:y>0.62806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47AF5F86-4E94-8C0C-14C8-BDA4D3C0C6FA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3">
          <a:alphaModFix/>
        </a:blip>
        <a:srcRect xmlns:a="http://schemas.openxmlformats.org/drawingml/2006/main" l="5863"/>
        <a:stretch xmlns:a="http://schemas.openxmlformats.org/drawingml/2006/main"/>
      </cdr:blipFill>
      <cdr:spPr>
        <a:xfrm xmlns:a="http://schemas.openxmlformats.org/drawingml/2006/main">
          <a:off x="7956776" y="2760201"/>
          <a:ext cx="1361415" cy="74656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0.85206</cdr:x>
      <cdr:y>0.36933</cdr:y>
    </cdr:from>
    <cdr:to>
      <cdr:x>0.99468</cdr:x>
      <cdr:y>0.6372</cdr:y>
    </cdr:to>
    <cdr:pic>
      <cdr:nvPicPr>
        <cdr:cNvPr id="8" name="chart">
          <a:extLst xmlns:a="http://schemas.openxmlformats.org/drawingml/2006/main">
            <a:ext uri="{FF2B5EF4-FFF2-40B4-BE49-F238E27FC236}">
              <a16:creationId xmlns:a16="http://schemas.microsoft.com/office/drawing/2014/main" id="{52159510-FE48-3C87-1488-2A5C1351892D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4">
          <a:alphaModFix/>
        </a:blip>
        <a:srcRect xmlns:a="http://schemas.openxmlformats.org/drawingml/2006/main" l="10529"/>
        <a:stretch xmlns:a="http://schemas.openxmlformats.org/drawingml/2006/main"/>
      </cdr:blipFill>
      <cdr:spPr>
        <a:xfrm xmlns:a="http://schemas.openxmlformats.org/drawingml/2006/main">
          <a:off x="7959587" y="2084181"/>
          <a:ext cx="1332282" cy="1511648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202406</xdr:colOff>
      <xdr:row>4</xdr:row>
      <xdr:rowOff>23812</xdr:rowOff>
    </xdr:from>
    <xdr:to>
      <xdr:col>18</xdr:col>
      <xdr:colOff>240506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F7CA6-1EAE-454C-A85C-33D2290D4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279180</xdr:colOff>
      <xdr:row>3</xdr:row>
      <xdr:rowOff>0</xdr:rowOff>
    </xdr:from>
    <xdr:to>
      <xdr:col>12</xdr:col>
      <xdr:colOff>321879</xdr:colOff>
      <xdr:row>16</xdr:row>
      <xdr:rowOff>64376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1FD2F-6887-42E6-A855-38A279ADC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135091</xdr:colOff>
      <xdr:row>0</xdr:row>
      <xdr:rowOff>130523</xdr:rowOff>
    </xdr:from>
    <xdr:to>
      <xdr:col>23</xdr:col>
      <xdr:colOff>107673</xdr:colOff>
      <xdr:row>27</xdr:row>
      <xdr:rowOff>160082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F0B7F-25B2-4278-B039-F2339DC47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11205</xdr:rowOff>
    </xdr:from>
    <xdr:to>
      <xdr:col>14</xdr:col>
      <xdr:colOff>11205</xdr:colOff>
      <xdr:row>49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F831B-D8D7-42EB-8D9B-4F05F6240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0.71402</cdr:x>
      <cdr:y>0.06451</cdr:y>
    </cdr:from>
    <cdr:to>
      <cdr:x>0.79739</cdr:x>
      <cdr:y>0.26182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 rot="749965">
          <a:off x="6701056" y="358203"/>
          <a:ext cx="782367" cy="109554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0.62042</cdr:x>
      <cdr:y>0.59763</cdr:y>
    </cdr:from>
    <cdr:to>
      <cdr:x>0.79425</cdr:x>
      <cdr:y>0.70563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20124035">
          <a:off x="5822625" y="3318338"/>
          <a:ext cx="1631375" cy="59970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0.08778</cdr:x>
      <cdr:y>0.8559</cdr:y>
    </cdr:from>
    <cdr:to>
      <cdr:x>0.38791</cdr:x>
      <cdr:y>0.87205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819977" y="4829980"/>
          <a:ext cx="2803664" cy="9110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0.13743</cdr:x>
      <cdr:y>0.8471</cdr:y>
    </cdr:from>
    <cdr:to>
      <cdr:x>0.3653</cdr:x>
      <cdr:y>0.86981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283804" y="4780285"/>
          <a:ext cx="2128631" cy="12817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0.83933</cdr:x>
      <cdr:y>0.36745</cdr:y>
    </cdr:from>
    <cdr:to>
      <cdr:x>0.99276</cdr:x>
      <cdr:y>0.6337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682C128F-16FE-66F2-2C41-6A7FA92CFA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77054" y="2040290"/>
          <a:ext cx="1439964" cy="14783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0.84028</cdr:x>
      <cdr:y>0.49424</cdr:y>
    </cdr:from>
    <cdr:to>
      <cdr:x>0.99496</cdr:x>
      <cdr:y>0.6271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D51E455D-B577-84C9-7553-EC1B8829F6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alphaModFix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60573" y="2778282"/>
          <a:ext cx="1446970" cy="74686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0.83773</cdr:x>
      <cdr:y>0.37274</cdr:y>
    </cdr:from>
    <cdr:to>
      <cdr:x>0.99387</cdr:x>
      <cdr:y>0.63984</cdr:y>
    </cdr:to>
    <cdr:pic>
      <cdr:nvPicPr>
        <cdr:cNvPr id="8" name="chart">
          <a:extLst xmlns:a="http://schemas.openxmlformats.org/drawingml/2006/main">
            <a:ext uri="{FF2B5EF4-FFF2-40B4-BE49-F238E27FC236}">
              <a16:creationId xmlns:a16="http://schemas.microsoft.com/office/drawing/2014/main" id="{80C107CE-3B50-4CA0-8A0D-A2BC9D7791A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alphaModFix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41114" y="2089058"/>
          <a:ext cx="1461494" cy="1497014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11205</xdr:rowOff>
    </xdr:from>
    <xdr:to>
      <xdr:col>14</xdr:col>
      <xdr:colOff>11205</xdr:colOff>
      <xdr:row>49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6FA6B-A3F9-408B-9E7E-BFB10172D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39</xdr:row>
      <xdr:rowOff>0</xdr:rowOff>
    </xdr:from>
    <xdr:to>
      <xdr:col>21</xdr:col>
      <xdr:colOff>445168</xdr:colOff>
      <xdr:row>48</xdr:row>
      <xdr:rowOff>51522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4F244-FF6C-B3C6-426A-BB3378F9A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05442" y="7213356"/>
          <a:ext cx="3038899" cy="1667108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0.71402</cdr:x>
      <cdr:y>0.06451</cdr:y>
    </cdr:from>
    <cdr:to>
      <cdr:x>0.79739</cdr:x>
      <cdr:y>0.26182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 rot="749965">
          <a:off x="6701056" y="358203"/>
          <a:ext cx="782367" cy="109554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0.62042</cdr:x>
      <cdr:y>0.59763</cdr:y>
    </cdr:from>
    <cdr:to>
      <cdr:x>0.79425</cdr:x>
      <cdr:y>0.70563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20124035">
          <a:off x="5822625" y="3318338"/>
          <a:ext cx="1631375" cy="59970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0.08778</cdr:x>
      <cdr:y>0.8559</cdr:y>
    </cdr:from>
    <cdr:to>
      <cdr:x>0.38791</cdr:x>
      <cdr:y>0.87205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819977" y="4829980"/>
          <a:ext cx="2803664" cy="9110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0.13743</cdr:x>
      <cdr:y>0.8471</cdr:y>
    </cdr:from>
    <cdr:to>
      <cdr:x>0.3653</cdr:x>
      <cdr:y>0.86981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283804" y="4780285"/>
          <a:ext cx="2128631" cy="12817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0.83933</cdr:x>
      <cdr:y>0.36745</cdr:y>
    </cdr:from>
    <cdr:to>
      <cdr:x>0.99276</cdr:x>
      <cdr:y>0.6337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682C128F-16FE-66F2-2C41-6A7FA92CFA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77054" y="2040290"/>
          <a:ext cx="1439964" cy="14783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0.84028</cdr:x>
      <cdr:y>0.49424</cdr:y>
    </cdr:from>
    <cdr:to>
      <cdr:x>0.99496</cdr:x>
      <cdr:y>0.6271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D51E455D-B577-84C9-7553-EC1B8829F6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alphaModFix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60573" y="2778282"/>
          <a:ext cx="1446970" cy="746866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11205</xdr:rowOff>
    </xdr:from>
    <xdr:to>
      <xdr:col>14</xdr:col>
      <xdr:colOff>11205</xdr:colOff>
      <xdr:row>49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1B575-AFD1-4366-9B97-F7F2A5147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0.70399</cdr:x>
      <cdr:y>0.06847</cdr:y>
    </cdr:from>
    <cdr:to>
      <cdr:x>0.74783</cdr:x>
      <cdr:y>0.2556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>
          <a:off x="6576391" y="386359"/>
          <a:ext cx="409480" cy="1056033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0.78288</cdr:x>
      <cdr:y>0.57263</cdr:y>
    </cdr:from>
    <cdr:to>
      <cdr:x>0.84813</cdr:x>
      <cdr:y>0.70473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6200000">
          <a:off x="7265160" y="3260688"/>
          <a:ext cx="737585" cy="61080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0.08246</cdr:x>
      <cdr:y>0.85957</cdr:y>
    </cdr:from>
    <cdr:to>
      <cdr:x>0.40076</cdr:x>
      <cdr:y>0.87498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770305" y="4850668"/>
          <a:ext cx="2973433" cy="8698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0.11837</cdr:x>
      <cdr:y>0.85517</cdr:y>
    </cdr:from>
    <cdr:to>
      <cdr:x>0.40608</cdr:x>
      <cdr:y>0.87058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105729" y="4825838"/>
          <a:ext cx="2687705" cy="86967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0.83933</cdr:x>
      <cdr:y>0.36745</cdr:y>
    </cdr:from>
    <cdr:to>
      <cdr:x>0.99276</cdr:x>
      <cdr:y>0.6337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682C128F-16FE-66F2-2C41-6A7FA92CFA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772" b="92105" l="7962" r="97771">
                      <a14:foregroundMark x1="36306" y1="30702" x2="72293" y2="19006"/>
                      <a14:foregroundMark x1="72293" y1="19006" x2="7006" y2="11696"/>
                      <a14:foregroundMark x1="7006" y1="11696" x2="57962" y2="29240"/>
                      <a14:foregroundMark x1="57962" y1="29240" x2="24204" y2="33626"/>
                      <a14:foregroundMark x1="24204" y1="33626" x2="65287" y2="35673"/>
                      <a14:foregroundMark x1="65287" y1="35673" x2="37261" y2="61111"/>
                      <a14:foregroundMark x1="37261" y1="61111" x2="72930" y2="52047"/>
                      <a14:foregroundMark x1="72930" y1="52047" x2="36306" y2="56433"/>
                      <a14:foregroundMark x1="36306" y1="56433" x2="8280" y2="79240"/>
                      <a14:foregroundMark x1="8280" y1="79240" x2="56051" y2="94444"/>
                      <a14:foregroundMark x1="56051" y1="94444" x2="96497" y2="86550"/>
                      <a14:foregroundMark x1="96497" y1="86550" x2="65287" y2="67251"/>
                      <a14:foregroundMark x1="8280" y1="57895" x2="67197" y2="57895"/>
                      <a14:foregroundMark x1="67197" y1="57895" x2="28662" y2="56725"/>
                      <a14:foregroundMark x1="28662" y1="56725" x2="74841" y2="36842"/>
                      <a14:foregroundMark x1="74841" y1="36842" x2="75159" y2="33333"/>
                      <a14:foregroundMark x1="13057" y1="12865" x2="50000" y2="11404"/>
                      <a14:foregroundMark x1="50000" y1="11404" x2="51592" y2="10234"/>
                      <a14:foregroundMark x1="74522" y1="14620" x2="42357" y2="11988"/>
                      <a14:foregroundMark x1="79299" y1="9064" x2="44268" y2="11111"/>
                      <a14:foregroundMark x1="79299" y1="13743" x2="28981" y2="8772"/>
                      <a14:foregroundMark x1="9236" y1="9942" x2="26752" y2="11696"/>
                      <a14:foregroundMark x1="15287" y1="91520" x2="67516" y2="89181"/>
                      <a14:foregroundMark x1="67516" y1="89181" x2="75478" y2="89766"/>
                      <a14:foregroundMark x1="88217" y1="35088" x2="87898" y2="33041"/>
                      <a14:foregroundMark x1="91720" y1="34211" x2="79618" y2="32456"/>
                      <a14:foregroundMark x1="78025" y1="36842" x2="97134" y2="37135"/>
                      <a14:foregroundMark x1="97771" y1="33333" x2="85032" y2="30702"/>
                      <a14:foregroundMark x1="12102" y1="32164" x2="10510" y2="33626"/>
                      <a14:foregroundMark x1="15605" y1="87427" x2="14650" y2="88596"/>
                      <a14:foregroundMark x1="57325" y1="90643" x2="76752" y2="92105"/>
                      <a14:backgroundMark x1="4610" y1="87974" x2="1911" y2="92105"/>
                    </a14:backgroundRemoval>
                  </a14:imgEffect>
                </a14:imgLayer>
              </a14:imgProps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77054" y="2040290"/>
          <a:ext cx="1439964" cy="14783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0.84999</cdr:x>
      <cdr:y>0.49435</cdr:y>
    </cdr:from>
    <cdr:to>
      <cdr:x>0.99543</cdr:x>
      <cdr:y>0.62806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47AF5F86-4E94-8C0C-14C8-BDA4D3C0C6FA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3">
          <a:alphaModFix/>
        </a:blip>
        <a:srcRect xmlns:a="http://schemas.openxmlformats.org/drawingml/2006/main" l="5863"/>
        <a:stretch xmlns:a="http://schemas.openxmlformats.org/drawingml/2006/main"/>
      </cdr:blipFill>
      <cdr:spPr>
        <a:xfrm xmlns:a="http://schemas.openxmlformats.org/drawingml/2006/main">
          <a:off x="7956776" y="2760201"/>
          <a:ext cx="1361415" cy="746566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11205</xdr:rowOff>
    </xdr:from>
    <xdr:to>
      <xdr:col>14</xdr:col>
      <xdr:colOff>11205</xdr:colOff>
      <xdr:row>49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103DF-CD6F-490E-920D-D474ECA88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0.70328</cdr:x>
      <cdr:y>0.06266</cdr:y>
    </cdr:from>
    <cdr:to>
      <cdr:x>0.80213</cdr:x>
      <cdr:y>0.278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 rot="20737010">
          <a:off x="6577966" y="350185"/>
          <a:ext cx="924583" cy="1203566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0.6075</cdr:x>
      <cdr:y>0.56548</cdr:y>
    </cdr:from>
    <cdr:to>
      <cdr:x>0.67445</cdr:x>
      <cdr:y>0.72559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7682615">
          <a:off x="5535969" y="3330148"/>
          <a:ext cx="903494" cy="62537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0.12274</cdr:x>
      <cdr:y>0.86266</cdr:y>
    </cdr:from>
    <cdr:to>
      <cdr:x>0.48399</cdr:x>
      <cdr:y>0.87205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1148012" y="4821479"/>
          <a:ext cx="3378870" cy="52479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0.10693</cdr:x>
      <cdr:y>0.85862</cdr:y>
    </cdr:from>
    <cdr:to>
      <cdr:x>0.55233</cdr:x>
      <cdr:y>0.87073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000125" y="4798920"/>
          <a:ext cx="4165935" cy="6767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0.83933</cdr:x>
      <cdr:y>0.36745</cdr:y>
    </cdr:from>
    <cdr:to>
      <cdr:x>0.99276</cdr:x>
      <cdr:y>0.6337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682C128F-16FE-66F2-2C41-6A7FA92CFA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77054" y="2040290"/>
          <a:ext cx="1439964" cy="14783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0.84023</cdr:x>
      <cdr:y>0.49461</cdr:y>
    </cdr:from>
    <cdr:to>
      <cdr:x>0.99494</cdr:x>
      <cdr:y>0.62811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47AF5F86-4E94-8C0C-14C8-BDA4D3C0C6F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alphaModFix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58016" y="2767068"/>
          <a:ext cx="1446970" cy="74686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0.84041</cdr:x>
      <cdr:y>0.36611</cdr:y>
    </cdr:from>
    <cdr:to>
      <cdr:x>1</cdr:x>
      <cdr:y>0.63911</cdr:y>
    </cdr:to>
    <cdr:pic>
      <cdr:nvPicPr>
        <cdr:cNvPr id="9" name="chart">
          <a:extLst xmlns:a="http://schemas.openxmlformats.org/drawingml/2006/main">
            <a:ext uri="{FF2B5EF4-FFF2-40B4-BE49-F238E27FC236}">
              <a16:creationId xmlns:a16="http://schemas.microsoft.com/office/drawing/2014/main" id="{A29988AA-7832-67B5-590D-1B72E9A3ED2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alphaModFix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59767" y="2048165"/>
          <a:ext cx="1492507" cy="1527285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11205</xdr:rowOff>
    </xdr:from>
    <xdr:to>
      <xdr:col>14</xdr:col>
      <xdr:colOff>11205</xdr:colOff>
      <xdr:row>49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5F9B1-8736-4F8E-8D49-6309D81CF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0.72514</cdr:x>
      <cdr:y>0.0662</cdr:y>
    </cdr:from>
    <cdr:to>
      <cdr:x>0.81076</cdr:x>
      <cdr:y>0.2725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 rot="12123316">
          <a:off x="6773906" y="373558"/>
          <a:ext cx="799901" cy="116417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0.77649</cdr:x>
      <cdr:y>0.55639</cdr:y>
    </cdr:from>
    <cdr:to>
      <cdr:x>0.8115</cdr:x>
      <cdr:y>0.71082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8599757">
          <a:off x="6981408" y="3412033"/>
          <a:ext cx="871468" cy="326999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0.08778</cdr:x>
      <cdr:y>0.86218</cdr:y>
    </cdr:from>
    <cdr:to>
      <cdr:x>0.6949</cdr:x>
      <cdr:y>0.87036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821025" y="4818788"/>
          <a:ext cx="5678533" cy="45719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0.13931</cdr:x>
      <cdr:y>0.85773</cdr:y>
    </cdr:from>
    <cdr:to>
      <cdr:x>0.73751</cdr:x>
      <cdr:y>0.87073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302960" y="4793909"/>
          <a:ext cx="5595145" cy="7269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0.83933</cdr:x>
      <cdr:y>0.36745</cdr:y>
    </cdr:from>
    <cdr:to>
      <cdr:x>0.99276</cdr:x>
      <cdr:y>0.6337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682C128F-16FE-66F2-2C41-6A7FA92CFA3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77054" y="2040290"/>
          <a:ext cx="1439964" cy="14783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0.83642</cdr:x>
      <cdr:y>0.36851</cdr:y>
    </cdr:from>
    <cdr:to>
      <cdr:x>0.98862</cdr:x>
      <cdr:y>0.63875</cdr:y>
    </cdr:to>
    <cdr:pic>
      <cdr:nvPicPr>
        <cdr:cNvPr id="9" name="chart">
          <a:extLst xmlns:a="http://schemas.openxmlformats.org/drawingml/2006/main">
            <a:ext uri="{FF2B5EF4-FFF2-40B4-BE49-F238E27FC236}">
              <a16:creationId xmlns:a16="http://schemas.microsoft.com/office/drawing/2014/main" id="{82FFD68B-C22A-792C-A308-79F944CDA76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alphaModFix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849719" y="2046141"/>
          <a:ext cx="1428369" cy="1500522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60409</xdr:colOff>
      <xdr:row>17</xdr:row>
      <xdr:rowOff>208777</xdr:rowOff>
    </xdr:from>
    <xdr:to>
      <xdr:col>15</xdr:col>
      <xdr:colOff>441771</xdr:colOff>
      <xdr:row>43</xdr:row>
      <xdr:rowOff>37928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15075-7407-45E2-8FEE-58C5C9C1A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0.79923</cdr:x>
      <cdr:y>0.06984</cdr:y>
    </cdr:from>
    <cdr:to>
      <cdr:x>0.85277</cdr:x>
      <cdr:y>0.25761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>
          <a:off x="5455192" y="329878"/>
          <a:ext cx="365430" cy="886812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0.88646</cdr:x>
      <cdr:y>0.57611</cdr:y>
    </cdr:from>
    <cdr:to>
      <cdr:x>0.95383</cdr:x>
      <cdr:y>0.70931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6200000">
          <a:off x="5965883" y="2805635"/>
          <a:ext cx="629134" cy="459828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0.11365</cdr:x>
      <cdr:y>0.85567</cdr:y>
    </cdr:from>
    <cdr:to>
      <cdr:x>0.46197</cdr:x>
      <cdr:y>0.87505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772028" y="3967545"/>
          <a:ext cx="2366210" cy="89876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0.14698</cdr:x>
      <cdr:y>0.84802</cdr:y>
    </cdr:from>
    <cdr:to>
      <cdr:x>0.46123</cdr:x>
      <cdr:y>0.87383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998485" y="3932091"/>
          <a:ext cx="2134739" cy="119649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60409</xdr:colOff>
      <xdr:row>17</xdr:row>
      <xdr:rowOff>208777</xdr:rowOff>
    </xdr:from>
    <xdr:to>
      <xdr:col>15</xdr:col>
      <xdr:colOff>441771</xdr:colOff>
      <xdr:row>43</xdr:row>
      <xdr:rowOff>37928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D2526-E738-4198-A746-E6011E4C5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0.80699</cdr:x>
      <cdr:y>0.06486</cdr:y>
    </cdr:from>
    <cdr:to>
      <cdr:x>0.92229</cdr:x>
      <cdr:y>0.27091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 rot="20474205">
          <a:off x="5508152" y="306332"/>
          <a:ext cx="786957" cy="97317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0.71658</cdr:x>
      <cdr:y>0.56368</cdr:y>
    </cdr:from>
    <cdr:to>
      <cdr:x>0.78137</cdr:x>
      <cdr:y>0.73394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8132627">
          <a:off x="4702826" y="2772974"/>
          <a:ext cx="785517" cy="440793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0.15571</cdr:x>
      <cdr:y>0.85675</cdr:y>
    </cdr:from>
    <cdr:to>
      <cdr:x>0.56233</cdr:x>
      <cdr:y>0.87505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1057795" y="3972557"/>
          <a:ext cx="2762231" cy="84863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0.13517</cdr:x>
      <cdr:y>0.85127</cdr:y>
    </cdr:from>
    <cdr:to>
      <cdr:x>0.64351</cdr:x>
      <cdr:y>0.87505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918251" y="3947130"/>
          <a:ext cx="3453223" cy="110289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203119</xdr:colOff>
      <xdr:row>17</xdr:row>
      <xdr:rowOff>221915</xdr:rowOff>
    </xdr:from>
    <xdr:to>
      <xdr:col>15</xdr:col>
      <xdr:colOff>584481</xdr:colOff>
      <xdr:row>43</xdr:row>
      <xdr:rowOff>51066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B2ADC-F353-409D-BC4A-FD967FD79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0.83744</cdr:x>
      <cdr:y>0.06349</cdr:y>
    </cdr:from>
    <cdr:to>
      <cdr:x>0.92599</cdr:x>
      <cdr:y>0.26954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7CA7473-288E-9B30-599F-026B56834213}"/>
            </a:ext>
          </a:extLst>
        </cdr:cNvPr>
        <cdr:cNvSpPr/>
      </cdr:nvSpPr>
      <cdr:spPr>
        <a:xfrm xmlns:a="http://schemas.openxmlformats.org/drawingml/2006/main" rot="879876">
          <a:off x="5681009" y="297288"/>
          <a:ext cx="600736" cy="964882"/>
        </a:xfrm>
        <a:prstGeom xmlns:a="http://schemas.openxmlformats.org/drawingml/2006/main" prst="ellipse">
          <a:avLst/>
        </a:prstGeom>
        <a:solidFill xmlns:a="http://schemas.openxmlformats.org/drawingml/2006/main">
          <a:srgbClr val="FFC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0.89175</cdr:x>
      <cdr:y>0.55348</cdr:y>
    </cdr:from>
    <cdr:to>
      <cdr:x>0.93316</cdr:x>
      <cdr:y>0.71619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63D6B904-AC24-0B80-ABEE-95DB4DE8A36B}"/>
            </a:ext>
          </a:extLst>
        </cdr:cNvPr>
        <cdr:cNvSpPr/>
      </cdr:nvSpPr>
      <cdr:spPr>
        <a:xfrm xmlns:a="http://schemas.openxmlformats.org/drawingml/2006/main" rot="18863361">
          <a:off x="5840914" y="2773909"/>
          <a:ext cx="747123" cy="28206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0.11679</cdr:x>
      <cdr:y>0.85566</cdr:y>
    </cdr:from>
    <cdr:to>
      <cdr:x>0.8014</cdr:x>
      <cdr:y>0.87464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36BB1E57-C487-4B6B-9AA5-045B14F2564D}"/>
            </a:ext>
          </a:extLst>
        </cdr:cNvPr>
        <cdr:cNvSpPr/>
      </cdr:nvSpPr>
      <cdr:spPr>
        <a:xfrm xmlns:a="http://schemas.openxmlformats.org/drawingml/2006/main">
          <a:off x="794653" y="3947529"/>
          <a:ext cx="4658037" cy="8755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0.16937</cdr:x>
      <cdr:y>0.8534</cdr:y>
    </cdr:from>
    <cdr:to>
      <cdr:x>0.8526</cdr:x>
      <cdr:y>0.86992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7DAF18EC-B807-9C82-E823-6248EAC4BB43}"/>
            </a:ext>
          </a:extLst>
        </cdr:cNvPr>
        <cdr:cNvSpPr/>
      </cdr:nvSpPr>
      <cdr:spPr>
        <a:xfrm xmlns:a="http://schemas.openxmlformats.org/drawingml/2006/main">
          <a:off x="1152405" y="3937111"/>
          <a:ext cx="4648627" cy="76198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202406</xdr:colOff>
      <xdr:row>4</xdr:row>
      <xdr:rowOff>23812</xdr:rowOff>
    </xdr:from>
    <xdr:to>
      <xdr:col>18</xdr:col>
      <xdr:colOff>240506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5ACE7-BEBF-4F14-9BB2-DE6AF1FA7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279180</xdr:colOff>
      <xdr:row>3</xdr:row>
      <xdr:rowOff>0</xdr:rowOff>
    </xdr:from>
    <xdr:to>
      <xdr:col>12</xdr:col>
      <xdr:colOff>321879</xdr:colOff>
      <xdr:row>16</xdr:row>
      <xdr:rowOff>64376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87DE95-4CCE-7FD7-3D31-F20CF3D85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135091</xdr:colOff>
      <xdr:row>0</xdr:row>
      <xdr:rowOff>130523</xdr:rowOff>
    </xdr:from>
    <xdr:to>
      <xdr:col>23</xdr:col>
      <xdr:colOff>107673</xdr:colOff>
      <xdr:row>27</xdr:row>
      <xdr:rowOff>160082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B88682-E442-54A0-B854-77B9B6C6A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7822-5B13-4B53-BE66-682A7EE00BF1}">
  <dimension ref="A1:N53"/>
  <sheetViews>
    <sheetView topLeftCell="A31" zoomScale="115" zoomScaleNormal="115" workbookViewId="0">
      <selection activeCell="Q40" sqref="Q40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  <col min="15" max="15" width="9.1328125" customWidth="1"/>
  </cols>
  <sheetData>
    <row r="1" spans="1:14" x14ac:dyDescent="0.45">
      <c r="A1" t="s">
        <v>0</v>
      </c>
      <c r="B1" t="s">
        <v>1</v>
      </c>
      <c r="E1" t="s">
        <v>29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0.92900000000000005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0.93500000000000005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0.93899999999999995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0.93433333333333335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0.90200000000000002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0.90900000000000003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0.90900000000000003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>AVERAGE(E6:E8)</f>
        <v>0.90666666666666662</v>
      </c>
      <c r="F9" s="2">
        <f t="shared" ref="F9:H9" si="0">AVERAGE(F6:F8)</f>
        <v>0.90666666666666662</v>
      </c>
      <c r="G9" s="2">
        <f t="shared" si="0"/>
        <v>0.66400000000000003</v>
      </c>
      <c r="H9" s="2">
        <f t="shared" si="0"/>
        <v>0.92333333333333345</v>
      </c>
      <c r="I9" s="1">
        <f>5918.92/60</f>
        <v>98.648666666666671</v>
      </c>
      <c r="L9" s="2">
        <f>AVERAGE(L6:L8)</f>
        <v>0.90666666666666662</v>
      </c>
      <c r="M9" s="2">
        <f t="shared" ref="M9:N9" si="1">AVERAGE(M6:M8)</f>
        <v>0.66400000000000003</v>
      </c>
      <c r="N9" s="2">
        <f t="shared" si="1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0.80900000000000005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0.73899999999999999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0.71399999999999997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>AVERAGE(E10:E12)</f>
        <v>0.754</v>
      </c>
      <c r="F13" s="2">
        <f t="shared" ref="F13:H13" si="2">AVERAGE(F10:F12)</f>
        <v>0.754</v>
      </c>
      <c r="G13" s="2">
        <f t="shared" si="2"/>
        <v>0.58633333333333337</v>
      </c>
      <c r="H13" s="2">
        <f t="shared" si="2"/>
        <v>0.78066666666666651</v>
      </c>
      <c r="I13" s="1">
        <f>24.75/60</f>
        <v>0.41249999999999998</v>
      </c>
      <c r="L13" s="2">
        <f>AVERAGE(L10:L12)</f>
        <v>0.754</v>
      </c>
      <c r="M13" s="2">
        <f t="shared" ref="M13:N13" si="3">AVERAGE(M10:M12)</f>
        <v>0.58633333333333337</v>
      </c>
      <c r="N13" s="2">
        <f t="shared" si="3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0.80900000000000005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0.76100000000000001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0.72499999999999998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>AVERAGE(E14:E16)</f>
        <v>0.76500000000000001</v>
      </c>
      <c r="F17" s="2">
        <f t="shared" ref="F17:H17" si="4">AVERAGE(F14:F16)</f>
        <v>0.76500000000000001</v>
      </c>
      <c r="G17" s="2">
        <f t="shared" si="4"/>
        <v>0.58933333333333338</v>
      </c>
      <c r="H17" s="2">
        <f t="shared" si="4"/>
        <v>0.80600000000000005</v>
      </c>
      <c r="I17" s="1">
        <f>64.35/60</f>
        <v>1.0725</v>
      </c>
      <c r="L17" s="2">
        <f>AVERAGE(L14:L16)</f>
        <v>0.76500000000000001</v>
      </c>
      <c r="M17" s="2">
        <f t="shared" ref="M17:N17" si="5">AVERAGE(M14:M16)</f>
        <v>0.58933333333333338</v>
      </c>
      <c r="N17" s="2">
        <f t="shared" si="5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B414-A5B3-4449-AF67-57C848DCEE15}">
  <dimension ref="A1:I11"/>
  <sheetViews>
    <sheetView topLeftCell="K1" zoomScale="115" zoomScaleNormal="115" workbookViewId="0">
      <selection activeCell="D6" sqref="D6"/>
    </sheetView>
  </sheetViews>
  <sheetFormatPr defaultRowHeight="14.25" x14ac:dyDescent="0.45"/>
  <cols>
    <col min="4" max="4" width="17.6640625" bestFit="1" customWidth="1"/>
  </cols>
  <sheetData>
    <row r="1" spans="1:9" x14ac:dyDescent="0.45">
      <c r="A1" t="s">
        <v>0</v>
      </c>
      <c r="B1" s="5" t="s">
        <v>1</v>
      </c>
      <c r="E1" t="s">
        <v>13</v>
      </c>
      <c r="F1" t="s">
        <v>11</v>
      </c>
      <c r="G1" t="s">
        <v>12</v>
      </c>
      <c r="H1" t="s">
        <v>13</v>
      </c>
      <c r="I1" t="s">
        <v>2</v>
      </c>
    </row>
    <row r="2" spans="1:9" ht="14.65" thickBot="1" x14ac:dyDescent="0.5">
      <c r="A2" s="4" t="s">
        <v>3</v>
      </c>
      <c r="B2" s="5"/>
      <c r="D2" t="s">
        <v>32</v>
      </c>
      <c r="E2" s="2">
        <v>0.93200000000000005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</row>
    <row r="3" spans="1:9" ht="14.65" thickBot="1" x14ac:dyDescent="0.5">
      <c r="A3" s="4" t="s">
        <v>7</v>
      </c>
      <c r="B3" s="5"/>
      <c r="D3" t="s">
        <v>33</v>
      </c>
      <c r="E3" s="3">
        <v>0.90400000000000003</v>
      </c>
      <c r="F3" s="3">
        <v>0.90200000000000002</v>
      </c>
      <c r="G3" s="3">
        <v>0.67300000000000004</v>
      </c>
      <c r="H3" s="3">
        <v>0.90400000000000003</v>
      </c>
      <c r="I3" s="1">
        <f>5605.93/60</f>
        <v>93.432166666666674</v>
      </c>
    </row>
    <row r="4" spans="1:9" ht="14.65" thickBot="1" x14ac:dyDescent="0.5">
      <c r="A4" s="6" t="s">
        <v>8</v>
      </c>
      <c r="B4" s="5"/>
      <c r="D4" t="s">
        <v>34</v>
      </c>
      <c r="E4" s="3">
        <v>0.88700000000000001</v>
      </c>
      <c r="F4" s="3">
        <v>0.80900000000000005</v>
      </c>
      <c r="G4" s="3">
        <v>0.60799999999999998</v>
      </c>
      <c r="H4" s="3">
        <v>0.88700000000000001</v>
      </c>
      <c r="I4" s="1">
        <f>25.65/60</f>
        <v>0.42749999999999999</v>
      </c>
    </row>
    <row r="5" spans="1:9" ht="14.65" thickBot="1" x14ac:dyDescent="0.5">
      <c r="A5" s="6"/>
      <c r="B5" s="5"/>
      <c r="D5" t="s">
        <v>35</v>
      </c>
      <c r="E5" s="3">
        <v>0.876</v>
      </c>
      <c r="F5" s="3">
        <v>0.73899999999999999</v>
      </c>
      <c r="G5" s="3">
        <v>0.54</v>
      </c>
      <c r="H5" s="3">
        <v>0.876</v>
      </c>
      <c r="I5" s="1">
        <f>24.52/60</f>
        <v>0.40866666666666668</v>
      </c>
    </row>
    <row r="6" spans="1:9" ht="14.65" thickBot="1" x14ac:dyDescent="0.5">
      <c r="A6" s="6"/>
      <c r="B6" s="5"/>
      <c r="E6" s="3">
        <v>0.57899999999999996</v>
      </c>
      <c r="F6" s="3">
        <v>0.71399999999999997</v>
      </c>
      <c r="G6" s="3">
        <v>0.61099999999999999</v>
      </c>
      <c r="H6" s="3">
        <v>0.57899999999999996</v>
      </c>
      <c r="I6" s="1">
        <f>24.1/60</f>
        <v>0.40166666666666667</v>
      </c>
    </row>
    <row r="7" spans="1:9" ht="14.65" thickBot="1" x14ac:dyDescent="0.5">
      <c r="A7" s="6"/>
      <c r="B7" s="5"/>
      <c r="E7" s="2">
        <f t="shared" ref="E7:H7" si="0">AVERAGE(E4:E6)</f>
        <v>0.78066666666666651</v>
      </c>
      <c r="F7" s="2">
        <f t="shared" si="0"/>
        <v>0.754</v>
      </c>
      <c r="G7" s="2">
        <f t="shared" si="0"/>
        <v>0.58633333333333337</v>
      </c>
      <c r="H7" s="2">
        <f t="shared" si="0"/>
        <v>0.78066666666666651</v>
      </c>
      <c r="I7" s="1">
        <f>24.75/60</f>
        <v>0.41249999999999998</v>
      </c>
    </row>
    <row r="8" spans="1:9" ht="14.65" thickBot="1" x14ac:dyDescent="0.5">
      <c r="A8" s="6" t="s">
        <v>9</v>
      </c>
      <c r="B8" s="5"/>
      <c r="D8" t="s">
        <v>9</v>
      </c>
      <c r="E8" s="3">
        <v>0.90600000000000003</v>
      </c>
      <c r="F8" s="3">
        <v>0.80900000000000005</v>
      </c>
      <c r="G8" s="3">
        <v>0.60699999999999998</v>
      </c>
      <c r="H8" s="3">
        <v>0.90600000000000003</v>
      </c>
      <c r="I8" s="1">
        <f>74.3/60</f>
        <v>1.2383333333333333</v>
      </c>
    </row>
    <row r="9" spans="1:9" ht="14.65" thickBot="1" x14ac:dyDescent="0.5">
      <c r="A9" s="6"/>
      <c r="B9" s="5"/>
      <c r="E9" s="3">
        <v>0.90800000000000003</v>
      </c>
      <c r="F9" s="3">
        <v>0.76100000000000001</v>
      </c>
      <c r="G9" s="3">
        <v>0.53700000000000003</v>
      </c>
      <c r="H9" s="3">
        <v>0.90800000000000003</v>
      </c>
      <c r="I9" s="1">
        <f>44.42/60</f>
        <v>0.7403333333333334</v>
      </c>
    </row>
    <row r="10" spans="1:9" ht="14.65" thickBot="1" x14ac:dyDescent="0.5">
      <c r="A10" s="6"/>
      <c r="B10" s="5"/>
      <c r="E10" s="3">
        <v>0.60399999999999998</v>
      </c>
      <c r="F10" s="3">
        <v>0.72499999999999998</v>
      </c>
      <c r="G10" s="3">
        <v>0.624</v>
      </c>
      <c r="H10" s="3">
        <v>0.60399999999999998</v>
      </c>
      <c r="I10" s="1">
        <f>74.33/60</f>
        <v>1.2388333333333332</v>
      </c>
    </row>
    <row r="11" spans="1:9" x14ac:dyDescent="0.45">
      <c r="A11" s="6"/>
      <c r="B11" s="5"/>
      <c r="E11" s="2">
        <f t="shared" ref="E11:H11" si="1">AVERAGE(E8:E10)</f>
        <v>0.80600000000000005</v>
      </c>
      <c r="F11" s="2">
        <f t="shared" si="1"/>
        <v>0.76500000000000001</v>
      </c>
      <c r="G11" s="2">
        <f t="shared" si="1"/>
        <v>0.58933333333333338</v>
      </c>
      <c r="H11" s="2">
        <f t="shared" si="1"/>
        <v>0.80600000000000005</v>
      </c>
      <c r="I11" s="1">
        <f>64.35/60</f>
        <v>1.0725</v>
      </c>
    </row>
  </sheetData>
  <mergeCells count="2">
    <mergeCell ref="A4:A7"/>
    <mergeCell ref="A8:A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4A38-63E4-42B4-8549-AF05AFD4B825}">
  <dimension ref="A1:N53"/>
  <sheetViews>
    <sheetView topLeftCell="A19" zoomScaleNormal="100" workbookViewId="0">
      <selection activeCell="P40" sqref="P40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  <col min="15" max="15" width="9.1328125" customWidth="1"/>
  </cols>
  <sheetData>
    <row r="1" spans="1:14" x14ac:dyDescent="0.45">
      <c r="A1" t="s">
        <v>0</v>
      </c>
      <c r="B1" t="s">
        <v>1</v>
      </c>
      <c r="E1" t="s">
        <v>10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0.879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0.88600000000000001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0.85699999999999998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0.874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0.875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0.88600000000000001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0.88700000000000001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>AVERAGE(E6:E8)</f>
        <v>0.88266666666666671</v>
      </c>
      <c r="F9" s="2">
        <f t="shared" ref="F9:H9" si="0">AVERAGE(F6:F8)</f>
        <v>0.90666666666666662</v>
      </c>
      <c r="G9" s="2">
        <f t="shared" si="0"/>
        <v>0.66400000000000003</v>
      </c>
      <c r="H9" s="2">
        <f t="shared" si="0"/>
        <v>0.92333333333333345</v>
      </c>
      <c r="I9" s="1">
        <f>5918.92/60</f>
        <v>98.648666666666671</v>
      </c>
      <c r="L9" s="2">
        <f t="shared" ref="L9:N9" si="1">AVERAGE(L6:L8)</f>
        <v>0.90666666666666662</v>
      </c>
      <c r="M9" s="2">
        <f t="shared" si="1"/>
        <v>0.66400000000000003</v>
      </c>
      <c r="N9" s="2">
        <f t="shared" si="1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0.80600000000000005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0.755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0.74399999999999999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>AVERAGE(E10:E12)</f>
        <v>0.7683333333333332</v>
      </c>
      <c r="F13" s="2">
        <f t="shared" ref="F13:H13" si="2">AVERAGE(F10:F12)</f>
        <v>0.754</v>
      </c>
      <c r="G13" s="2">
        <f t="shared" si="2"/>
        <v>0.58633333333333337</v>
      </c>
      <c r="H13" s="2">
        <f t="shared" si="2"/>
        <v>0.78066666666666651</v>
      </c>
      <c r="I13" s="1">
        <f>24.75/60</f>
        <v>0.41249999999999998</v>
      </c>
      <c r="L13" s="2">
        <f t="shared" ref="L13:N13" si="3">AVERAGE(L10:L12)</f>
        <v>0.754</v>
      </c>
      <c r="M13" s="2">
        <f t="shared" si="3"/>
        <v>0.58633333333333337</v>
      </c>
      <c r="N13" s="2">
        <f t="shared" si="3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0.80200000000000005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0.75800000000000001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0.754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>AVERAGE(E14:E16)</f>
        <v>0.77133333333333332</v>
      </c>
      <c r="F17" s="2">
        <f t="shared" ref="F17:H17" si="4">AVERAGE(F14:F16)</f>
        <v>0.76500000000000001</v>
      </c>
      <c r="G17" s="2">
        <f t="shared" si="4"/>
        <v>0.58933333333333338</v>
      </c>
      <c r="H17" s="2">
        <f t="shared" si="4"/>
        <v>0.80600000000000005</v>
      </c>
      <c r="I17" s="1">
        <f>64.35/60</f>
        <v>1.0725</v>
      </c>
      <c r="L17" s="2">
        <f t="shared" ref="L17:N17" si="5">AVERAGE(L14:L16)</f>
        <v>0.76500000000000001</v>
      </c>
      <c r="M17" s="2">
        <f t="shared" si="5"/>
        <v>0.58933333333333338</v>
      </c>
      <c r="N17" s="2">
        <f t="shared" si="5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A1AD-960F-471D-B392-BA2160A20553}">
  <dimension ref="A1:N53"/>
  <sheetViews>
    <sheetView topLeftCell="A15" zoomScale="85" zoomScaleNormal="85" workbookViewId="0">
      <selection activeCell="O37" sqref="O37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  <col min="15" max="15" width="9.1328125" customWidth="1"/>
  </cols>
  <sheetData>
    <row r="1" spans="1:14" x14ac:dyDescent="0.45">
      <c r="A1" t="s">
        <v>0</v>
      </c>
      <c r="B1" t="s">
        <v>1</v>
      </c>
      <c r="E1" t="s">
        <v>10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0.879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0.88600000000000001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0.85699999999999998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0.874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0.875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0.88600000000000001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0.88700000000000001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>AVERAGE(E6:E8)</f>
        <v>0.88266666666666671</v>
      </c>
      <c r="F9" s="2">
        <f t="shared" ref="F9:H9" si="0">AVERAGE(F6:F8)</f>
        <v>0.90666666666666662</v>
      </c>
      <c r="G9" s="2">
        <f t="shared" si="0"/>
        <v>0.66400000000000003</v>
      </c>
      <c r="H9" s="2">
        <f t="shared" si="0"/>
        <v>0.92333333333333345</v>
      </c>
      <c r="I9" s="1">
        <f>5918.92/60</f>
        <v>98.648666666666671</v>
      </c>
      <c r="L9" s="2">
        <f t="shared" ref="L9:N9" si="1">AVERAGE(L6:L8)</f>
        <v>0.90666666666666662</v>
      </c>
      <c r="M9" s="2">
        <f t="shared" si="1"/>
        <v>0.66400000000000003</v>
      </c>
      <c r="N9" s="2">
        <f t="shared" si="1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0.80600000000000005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0.755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0.74399999999999999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>AVERAGE(E10:E12)</f>
        <v>0.7683333333333332</v>
      </c>
      <c r="F13" s="2">
        <f t="shared" ref="F13:H13" si="2">AVERAGE(F10:F12)</f>
        <v>0.754</v>
      </c>
      <c r="G13" s="2">
        <f t="shared" si="2"/>
        <v>0.58633333333333337</v>
      </c>
      <c r="H13" s="2">
        <f t="shared" si="2"/>
        <v>0.78066666666666651</v>
      </c>
      <c r="I13" s="1">
        <f>24.75/60</f>
        <v>0.41249999999999998</v>
      </c>
      <c r="L13" s="2">
        <f t="shared" ref="L13:N13" si="3">AVERAGE(L10:L12)</f>
        <v>0.754</v>
      </c>
      <c r="M13" s="2">
        <f t="shared" si="3"/>
        <v>0.58633333333333337</v>
      </c>
      <c r="N13" s="2">
        <f t="shared" si="3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0.80200000000000005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0.75800000000000001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0.754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>AVERAGE(E14:E16)</f>
        <v>0.77133333333333332</v>
      </c>
      <c r="F17" s="2">
        <f t="shared" ref="F17:H17" si="4">AVERAGE(F14:F16)</f>
        <v>0.76500000000000001</v>
      </c>
      <c r="G17" s="2">
        <f t="shared" si="4"/>
        <v>0.58933333333333338</v>
      </c>
      <c r="H17" s="2">
        <f t="shared" si="4"/>
        <v>0.80600000000000005</v>
      </c>
      <c r="I17" s="1">
        <f>64.35/60</f>
        <v>1.0725</v>
      </c>
      <c r="L17" s="2">
        <f t="shared" ref="L17:N17" si="5">AVERAGE(L14:L16)</f>
        <v>0.76500000000000001</v>
      </c>
      <c r="M17" s="2">
        <f t="shared" si="5"/>
        <v>0.58933333333333338</v>
      </c>
      <c r="N17" s="2">
        <f t="shared" si="5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23DC-37D0-4D5D-B8E2-D16E9C3A7855}">
  <dimension ref="A1:N53"/>
  <sheetViews>
    <sheetView topLeftCell="E31" zoomScale="280" zoomScaleNormal="280" workbookViewId="0">
      <selection activeCell="Q40" sqref="Q40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  <col min="15" max="15" width="9.1328125" customWidth="1"/>
  </cols>
  <sheetData>
    <row r="1" spans="1:14" x14ac:dyDescent="0.45">
      <c r="A1" t="s">
        <v>0</v>
      </c>
      <c r="B1" t="s">
        <v>1</v>
      </c>
      <c r="E1" t="s">
        <v>29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0.92900000000000005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0.93500000000000005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0.93899999999999995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0.93433333333333335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0.90200000000000002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0.90900000000000003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0.90900000000000003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>AVERAGE(E6:E8)</f>
        <v>0.90666666666666662</v>
      </c>
      <c r="F9" s="2">
        <f t="shared" ref="F9:H9" si="0">AVERAGE(F6:F8)</f>
        <v>0.90666666666666662</v>
      </c>
      <c r="G9" s="2">
        <f t="shared" si="0"/>
        <v>0.66400000000000003</v>
      </c>
      <c r="H9" s="2">
        <f t="shared" si="0"/>
        <v>0.92333333333333345</v>
      </c>
      <c r="I9" s="1">
        <f>5918.92/60</f>
        <v>98.648666666666671</v>
      </c>
      <c r="L9" s="2">
        <f>AVERAGE(L6:L8)</f>
        <v>0.90666666666666662</v>
      </c>
      <c r="M9" s="2">
        <f t="shared" ref="M9:N9" si="1">AVERAGE(M6:M8)</f>
        <v>0.66400000000000003</v>
      </c>
      <c r="N9" s="2">
        <f t="shared" si="1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0.80900000000000005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0.73899999999999999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0.71399999999999997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>AVERAGE(E10:E12)</f>
        <v>0.754</v>
      </c>
      <c r="F13" s="2">
        <f t="shared" ref="F13:H13" si="2">AVERAGE(F10:F12)</f>
        <v>0.754</v>
      </c>
      <c r="G13" s="2">
        <f t="shared" si="2"/>
        <v>0.58633333333333337</v>
      </c>
      <c r="H13" s="2">
        <f t="shared" si="2"/>
        <v>0.78066666666666651</v>
      </c>
      <c r="I13" s="1">
        <f>24.75/60</f>
        <v>0.41249999999999998</v>
      </c>
      <c r="L13" s="2">
        <f>AVERAGE(L10:L12)</f>
        <v>0.754</v>
      </c>
      <c r="M13" s="2">
        <f t="shared" ref="M13:N13" si="3">AVERAGE(M10:M12)</f>
        <v>0.58633333333333337</v>
      </c>
      <c r="N13" s="2">
        <f t="shared" si="3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0.80900000000000005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0.76100000000000001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0.72499999999999998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>AVERAGE(E14:E16)</f>
        <v>0.76500000000000001</v>
      </c>
      <c r="F17" s="2">
        <f t="shared" ref="F17:H17" si="4">AVERAGE(F14:F16)</f>
        <v>0.76500000000000001</v>
      </c>
      <c r="G17" s="2">
        <f t="shared" si="4"/>
        <v>0.58933333333333338</v>
      </c>
      <c r="H17" s="2">
        <f t="shared" si="4"/>
        <v>0.80600000000000005</v>
      </c>
      <c r="I17" s="1">
        <f>64.35/60</f>
        <v>1.0725</v>
      </c>
      <c r="L17" s="2">
        <f>AVERAGE(L14:L16)</f>
        <v>0.76500000000000001</v>
      </c>
      <c r="M17" s="2">
        <f t="shared" ref="M17:N17" si="5">AVERAGE(M14:M16)</f>
        <v>0.58933333333333338</v>
      </c>
      <c r="N17" s="2">
        <f t="shared" si="5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0938-6708-497C-A08F-902B7EA62322}">
  <dimension ref="A1:N53"/>
  <sheetViews>
    <sheetView topLeftCell="A27" zoomScaleNormal="100" workbookViewId="0">
      <selection activeCell="B55" sqref="B55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  <col min="15" max="15" width="9.1328125" customWidth="1"/>
  </cols>
  <sheetData>
    <row r="1" spans="1:14" x14ac:dyDescent="0.45">
      <c r="A1" t="s">
        <v>0</v>
      </c>
      <c r="B1" t="s">
        <v>1</v>
      </c>
      <c r="E1" t="s">
        <v>10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0.64600000000000002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0.64500000000000002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0.63600000000000001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0.64233333333333331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0.67300000000000004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0.65900000000000003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0.66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 t="shared" ref="E9" si="0">AVERAGE(E6:E8)</f>
        <v>0.66400000000000003</v>
      </c>
      <c r="F9" s="2">
        <f t="shared" ref="F9:H9" si="1">AVERAGE(F6:F8)</f>
        <v>0.90666666666666662</v>
      </c>
      <c r="G9" s="2">
        <f t="shared" si="1"/>
        <v>0.66400000000000003</v>
      </c>
      <c r="H9" s="2">
        <f t="shared" si="1"/>
        <v>0.92333333333333345</v>
      </c>
      <c r="I9" s="1">
        <f>5918.92/60</f>
        <v>98.648666666666671</v>
      </c>
      <c r="L9" s="2">
        <f t="shared" ref="L9:N9" si="2">AVERAGE(L6:L8)</f>
        <v>0.90666666666666662</v>
      </c>
      <c r="M9" s="2">
        <f t="shared" si="2"/>
        <v>0.66400000000000003</v>
      </c>
      <c r="N9" s="2">
        <f t="shared" si="2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0.60799999999999998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0.54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0.61099999999999999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 t="shared" ref="E13" si="3">AVERAGE(E10:E12)</f>
        <v>0.58633333333333337</v>
      </c>
      <c r="F13" s="2">
        <f t="shared" ref="F13:H13" si="4">AVERAGE(F10:F12)</f>
        <v>0.754</v>
      </c>
      <c r="G13" s="2">
        <f t="shared" si="4"/>
        <v>0.58633333333333337</v>
      </c>
      <c r="H13" s="2">
        <f t="shared" si="4"/>
        <v>0.78066666666666651</v>
      </c>
      <c r="I13" s="1">
        <f>24.75/60</f>
        <v>0.41249999999999998</v>
      </c>
      <c r="L13" s="2">
        <f t="shared" ref="L13:N13" si="5">AVERAGE(L10:L12)</f>
        <v>0.754</v>
      </c>
      <c r="M13" s="2">
        <f t="shared" si="5"/>
        <v>0.58633333333333337</v>
      </c>
      <c r="N13" s="2">
        <f t="shared" si="5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0.60699999999999998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0.53700000000000003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0.624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 t="shared" ref="E17" si="6">AVERAGE(E14:E16)</f>
        <v>0.58933333333333338</v>
      </c>
      <c r="F17" s="2">
        <f t="shared" ref="F17:H17" si="7">AVERAGE(F14:F16)</f>
        <v>0.76500000000000001</v>
      </c>
      <c r="G17" s="2">
        <f t="shared" si="7"/>
        <v>0.58933333333333338</v>
      </c>
      <c r="H17" s="2">
        <f t="shared" si="7"/>
        <v>0.80600000000000005</v>
      </c>
      <c r="I17" s="1">
        <f>64.35/60</f>
        <v>1.0725</v>
      </c>
      <c r="L17" s="2">
        <f t="shared" ref="L17:N17" si="8">AVERAGE(L14:L16)</f>
        <v>0.76500000000000001</v>
      </c>
      <c r="M17" s="2">
        <f t="shared" si="8"/>
        <v>0.58933333333333338</v>
      </c>
      <c r="N17" s="2">
        <f t="shared" si="8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0D2C-DF53-41B3-BB0B-3180834117C8}">
  <dimension ref="A1:N53"/>
  <sheetViews>
    <sheetView tabSelected="1" topLeftCell="A18" zoomScale="85" zoomScaleNormal="85" workbookViewId="0">
      <selection activeCell="B61" sqref="B61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  <col min="15" max="15" width="9.1328125" customWidth="1"/>
  </cols>
  <sheetData>
    <row r="1" spans="1:14" x14ac:dyDescent="0.45">
      <c r="A1" t="s">
        <v>0</v>
      </c>
      <c r="B1" t="s">
        <v>1</v>
      </c>
      <c r="E1" t="s">
        <v>10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0.93200000000000005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0.95399999999999996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0.92600000000000005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0.93733333333333346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0.90400000000000003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0.93300000000000005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0.93300000000000005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 t="shared" ref="E9" si="0">AVERAGE(E6:E8)</f>
        <v>0.92333333333333345</v>
      </c>
      <c r="F9" s="2">
        <f t="shared" ref="F9:H9" si="1">AVERAGE(F6:F8)</f>
        <v>0.90666666666666662</v>
      </c>
      <c r="G9" s="2">
        <f t="shared" si="1"/>
        <v>0.66400000000000003</v>
      </c>
      <c r="H9" s="2">
        <f t="shared" si="1"/>
        <v>0.92333333333333345</v>
      </c>
      <c r="I9" s="1">
        <f>5918.92/60</f>
        <v>98.648666666666671</v>
      </c>
      <c r="L9" s="2">
        <f t="shared" ref="L9:N9" si="2">AVERAGE(L6:L8)</f>
        <v>0.90666666666666662</v>
      </c>
      <c r="M9" s="2">
        <f t="shared" si="2"/>
        <v>0.66400000000000003</v>
      </c>
      <c r="N9" s="2">
        <f t="shared" si="2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0.88700000000000001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0.876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0.57899999999999996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 t="shared" ref="E13" si="3">AVERAGE(E10:E12)</f>
        <v>0.78066666666666651</v>
      </c>
      <c r="F13" s="2">
        <f t="shared" ref="F13:H13" si="4">AVERAGE(F10:F12)</f>
        <v>0.754</v>
      </c>
      <c r="G13" s="2">
        <f t="shared" si="4"/>
        <v>0.58633333333333337</v>
      </c>
      <c r="H13" s="2">
        <f t="shared" si="4"/>
        <v>0.78066666666666651</v>
      </c>
      <c r="I13" s="1">
        <f>24.75/60</f>
        <v>0.41249999999999998</v>
      </c>
      <c r="L13" s="2">
        <f t="shared" ref="L13:N13" si="5">AVERAGE(L10:L12)</f>
        <v>0.754</v>
      </c>
      <c r="M13" s="2">
        <f t="shared" si="5"/>
        <v>0.58633333333333337</v>
      </c>
      <c r="N13" s="2">
        <f t="shared" si="5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0.90600000000000003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0.90800000000000003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0.60399999999999998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 t="shared" ref="E17" si="6">AVERAGE(E14:E16)</f>
        <v>0.80600000000000005</v>
      </c>
      <c r="F17" s="2">
        <f t="shared" ref="F17:H17" si="7">AVERAGE(F14:F16)</f>
        <v>0.76500000000000001</v>
      </c>
      <c r="G17" s="2">
        <f t="shared" si="7"/>
        <v>0.58933333333333338</v>
      </c>
      <c r="H17" s="2">
        <f t="shared" si="7"/>
        <v>0.80600000000000005</v>
      </c>
      <c r="I17" s="1">
        <f>64.35/60</f>
        <v>1.0725</v>
      </c>
      <c r="L17" s="2">
        <f t="shared" ref="L17:N17" si="8">AVERAGE(L14:L16)</f>
        <v>0.76500000000000001</v>
      </c>
      <c r="M17" s="2">
        <f t="shared" si="8"/>
        <v>0.58933333333333338</v>
      </c>
      <c r="N17" s="2">
        <f t="shared" si="8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4034-2C17-4F6D-B1CB-A86E9DCF30F1}">
  <dimension ref="A1:N53"/>
  <sheetViews>
    <sheetView topLeftCell="A2" zoomScale="115" zoomScaleNormal="115" workbookViewId="0">
      <selection activeCell="B2" sqref="B2:B17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</cols>
  <sheetData>
    <row r="1" spans="1:14" x14ac:dyDescent="0.45">
      <c r="A1" t="s">
        <v>0</v>
      </c>
      <c r="B1" t="s">
        <v>1</v>
      </c>
      <c r="E1" t="s">
        <v>11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0.92900000000000005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0.93500000000000005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0.93899999999999995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0.93433333333333335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0.90200000000000002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0.90900000000000003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0.90900000000000003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 t="shared" ref="E9" si="0">AVERAGE(E6:E8)</f>
        <v>0.90666666666666662</v>
      </c>
      <c r="F9" s="2">
        <f t="shared" ref="F9:H9" si="1">AVERAGE(F6:F8)</f>
        <v>0.90666666666666662</v>
      </c>
      <c r="G9" s="2">
        <f t="shared" si="1"/>
        <v>0.66400000000000003</v>
      </c>
      <c r="H9" s="2">
        <f t="shared" si="1"/>
        <v>0.92333333333333345</v>
      </c>
      <c r="I9" s="1">
        <f>5918.92/60</f>
        <v>98.648666666666671</v>
      </c>
      <c r="L9" s="2">
        <f t="shared" ref="L9:N9" si="2">AVERAGE(L6:L8)</f>
        <v>0.90666666666666662</v>
      </c>
      <c r="M9" s="2">
        <f t="shared" si="2"/>
        <v>0.66400000000000003</v>
      </c>
      <c r="N9" s="2">
        <f t="shared" si="2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0.80900000000000005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0.73899999999999999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0.71399999999999997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 t="shared" ref="E13" si="3">AVERAGE(E10:E12)</f>
        <v>0.754</v>
      </c>
      <c r="F13" s="2">
        <f t="shared" ref="F13:H13" si="4">AVERAGE(F10:F12)</f>
        <v>0.754</v>
      </c>
      <c r="G13" s="2">
        <f t="shared" si="4"/>
        <v>0.58633333333333337</v>
      </c>
      <c r="H13" s="2">
        <f t="shared" si="4"/>
        <v>0.78066666666666651</v>
      </c>
      <c r="I13" s="1">
        <f>24.75/60</f>
        <v>0.41249999999999998</v>
      </c>
      <c r="L13" s="2">
        <f t="shared" ref="L13:N13" si="5">AVERAGE(L10:L12)</f>
        <v>0.754</v>
      </c>
      <c r="M13" s="2">
        <f t="shared" si="5"/>
        <v>0.58633333333333337</v>
      </c>
      <c r="N13" s="2">
        <f t="shared" si="5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0.80900000000000005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0.76100000000000001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0.72499999999999998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 t="shared" ref="E17" si="6">AVERAGE(E14:E16)</f>
        <v>0.76500000000000001</v>
      </c>
      <c r="F17" s="2">
        <f t="shared" ref="F17:H17" si="7">AVERAGE(F14:F16)</f>
        <v>0.76500000000000001</v>
      </c>
      <c r="G17" s="2">
        <f t="shared" si="7"/>
        <v>0.58933333333333338</v>
      </c>
      <c r="H17" s="2">
        <f t="shared" si="7"/>
        <v>0.80600000000000005</v>
      </c>
      <c r="I17" s="1">
        <f>64.35/60</f>
        <v>1.0725</v>
      </c>
      <c r="L17" s="2">
        <f t="shared" ref="L17:N17" si="8">AVERAGE(L14:L16)</f>
        <v>0.76500000000000001</v>
      </c>
      <c r="M17" s="2">
        <f t="shared" si="8"/>
        <v>0.58933333333333338</v>
      </c>
      <c r="N17" s="2">
        <f t="shared" si="8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04E9-212C-4417-B5A2-8B56D0B0A3ED}">
  <dimension ref="A1:N53"/>
  <sheetViews>
    <sheetView topLeftCell="A17" zoomScaleNormal="100" workbookViewId="0">
      <selection activeCell="B17" sqref="B2:B17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</cols>
  <sheetData>
    <row r="1" spans="1:14" x14ac:dyDescent="0.45">
      <c r="A1" t="s">
        <v>0</v>
      </c>
      <c r="B1" t="s">
        <v>1</v>
      </c>
      <c r="E1" t="s">
        <v>12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t="s">
        <v>4</v>
      </c>
      <c r="E2" s="2">
        <v>0.64600000000000002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t="s">
        <v>5</v>
      </c>
      <c r="E3" s="2">
        <v>0.64500000000000002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t="s">
        <v>6</v>
      </c>
      <c r="E4" s="2">
        <v>0.63600000000000001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t="s">
        <v>19</v>
      </c>
      <c r="E5" s="2">
        <f>AVERAGE(E2:E4)</f>
        <v>0.64233333333333331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t="s">
        <v>16</v>
      </c>
      <c r="E6" s="3">
        <v>0.67300000000000004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t="s">
        <v>17</v>
      </c>
      <c r="E7" s="3">
        <v>0.65900000000000003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t="s">
        <v>18</v>
      </c>
      <c r="E8" s="3">
        <v>0.66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t="s">
        <v>20</v>
      </c>
      <c r="E9" s="2">
        <f t="shared" ref="E9" si="0">AVERAGE(E6:E8)</f>
        <v>0.66400000000000003</v>
      </c>
      <c r="F9" s="2">
        <f t="shared" ref="F9:H9" si="1">AVERAGE(F6:F8)</f>
        <v>0.90666666666666662</v>
      </c>
      <c r="G9" s="2">
        <f t="shared" si="1"/>
        <v>0.66400000000000003</v>
      </c>
      <c r="H9" s="2">
        <f t="shared" si="1"/>
        <v>0.92333333333333345</v>
      </c>
      <c r="I9" s="1">
        <f>5918.92/60</f>
        <v>98.648666666666671</v>
      </c>
      <c r="L9" s="2">
        <f t="shared" ref="L9:N9" si="2">AVERAGE(L6:L8)</f>
        <v>0.90666666666666662</v>
      </c>
      <c r="M9" s="2">
        <f t="shared" si="2"/>
        <v>0.66400000000000003</v>
      </c>
      <c r="N9" s="2">
        <f t="shared" si="2"/>
        <v>0.92333333333333345</v>
      </c>
    </row>
    <row r="10" spans="1:14" ht="15.4" customHeight="1" thickBot="1" x14ac:dyDescent="0.5">
      <c r="A10" s="6" t="s">
        <v>8</v>
      </c>
      <c r="B10" t="s">
        <v>21</v>
      </c>
      <c r="E10" s="3">
        <v>0.60799999999999998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t="s">
        <v>22</v>
      </c>
      <c r="E11" s="3">
        <v>0.54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t="s">
        <v>23</v>
      </c>
      <c r="E12" s="3">
        <v>0.61099999999999999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t="s">
        <v>14</v>
      </c>
      <c r="E13" s="2">
        <f t="shared" ref="E13" si="3">AVERAGE(E10:E12)</f>
        <v>0.58633333333333337</v>
      </c>
      <c r="F13" s="2">
        <f t="shared" ref="F13:H13" si="4">AVERAGE(F10:F12)</f>
        <v>0.754</v>
      </c>
      <c r="G13" s="2">
        <f t="shared" si="4"/>
        <v>0.58633333333333337</v>
      </c>
      <c r="H13" s="2">
        <f t="shared" si="4"/>
        <v>0.78066666666666651</v>
      </c>
      <c r="I13" s="1">
        <f>24.75/60</f>
        <v>0.41249999999999998</v>
      </c>
      <c r="L13" s="2">
        <f t="shared" ref="L13:N13" si="5">AVERAGE(L10:L12)</f>
        <v>0.754</v>
      </c>
      <c r="M13" s="2">
        <f t="shared" si="5"/>
        <v>0.58633333333333337</v>
      </c>
      <c r="N13" s="2">
        <f t="shared" si="5"/>
        <v>0.78066666666666651</v>
      </c>
    </row>
    <row r="14" spans="1:14" ht="14.65" thickBot="1" x14ac:dyDescent="0.5">
      <c r="A14" s="6" t="s">
        <v>9</v>
      </c>
      <c r="B14" t="s">
        <v>24</v>
      </c>
      <c r="E14" s="3">
        <v>0.60699999999999998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t="s">
        <v>25</v>
      </c>
      <c r="E15" s="3">
        <v>0.53700000000000003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t="s">
        <v>26</v>
      </c>
      <c r="E16" s="3">
        <v>0.624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t="s">
        <v>15</v>
      </c>
      <c r="E17" s="2">
        <f t="shared" ref="E17" si="6">AVERAGE(E14:E16)</f>
        <v>0.58933333333333338</v>
      </c>
      <c r="F17" s="2">
        <f t="shared" ref="F17:H17" si="7">AVERAGE(F14:F16)</f>
        <v>0.76500000000000001</v>
      </c>
      <c r="G17" s="2">
        <f t="shared" si="7"/>
        <v>0.58933333333333338</v>
      </c>
      <c r="H17" s="2">
        <f t="shared" si="7"/>
        <v>0.80600000000000005</v>
      </c>
      <c r="I17" s="1">
        <f>64.35/60</f>
        <v>1.0725</v>
      </c>
      <c r="L17" s="2">
        <f t="shared" ref="L17:N17" si="8">AVERAGE(L14:L16)</f>
        <v>0.76500000000000001</v>
      </c>
      <c r="M17" s="2">
        <f t="shared" si="8"/>
        <v>0.58933333333333338</v>
      </c>
      <c r="N17" s="2">
        <f t="shared" si="8"/>
        <v>0.80600000000000005</v>
      </c>
    </row>
    <row r="18" spans="1:14" ht="23.25" customHeight="1" x14ac:dyDescent="0.45"/>
    <row r="38" spans="4:6" x14ac:dyDescent="0.45">
      <c r="D38" s="1"/>
      <c r="E38" s="1"/>
      <c r="F38" s="1"/>
    </row>
    <row r="39" spans="4:6" x14ac:dyDescent="0.45">
      <c r="D39" s="1"/>
      <c r="E39" s="1"/>
      <c r="F39" s="1"/>
    </row>
    <row r="40" spans="4:6" x14ac:dyDescent="0.45">
      <c r="D40" s="1"/>
      <c r="E40" s="1"/>
      <c r="F40" s="1"/>
    </row>
    <row r="41" spans="4:6" x14ac:dyDescent="0.45">
      <c r="D41" s="1"/>
      <c r="E41" s="1"/>
      <c r="F41" s="1"/>
    </row>
    <row r="42" spans="4:6" x14ac:dyDescent="0.45">
      <c r="D42" s="1"/>
      <c r="E42" s="1"/>
      <c r="F42" s="1"/>
    </row>
    <row r="43" spans="4:6" x14ac:dyDescent="0.45">
      <c r="D43" s="1"/>
      <c r="E43" s="1"/>
      <c r="F43" s="1"/>
    </row>
    <row r="44" spans="4:6" x14ac:dyDescent="0.45">
      <c r="D44" s="1"/>
      <c r="E44" s="1"/>
      <c r="F44" s="1"/>
    </row>
    <row r="45" spans="4:6" x14ac:dyDescent="0.45">
      <c r="D45" s="1"/>
      <c r="E45" s="1"/>
      <c r="F45" s="1"/>
    </row>
    <row r="46" spans="4:6" x14ac:dyDescent="0.45">
      <c r="D46" s="1"/>
      <c r="E46" s="1"/>
      <c r="F46" s="1"/>
    </row>
    <row r="47" spans="4:6" x14ac:dyDescent="0.45">
      <c r="D47" s="1"/>
      <c r="E47" s="1"/>
      <c r="F47" s="1"/>
    </row>
    <row r="48" spans="4:6" x14ac:dyDescent="0.45">
      <c r="D48" s="1"/>
      <c r="E48" s="1"/>
      <c r="F48" s="1"/>
    </row>
    <row r="49" spans="4:6" x14ac:dyDescent="0.45">
      <c r="D49" s="1"/>
      <c r="E49" s="1"/>
      <c r="F49" s="1"/>
    </row>
    <row r="50" spans="4:6" x14ac:dyDescent="0.45">
      <c r="D50" s="1"/>
      <c r="E50" s="1"/>
      <c r="F50" s="1"/>
    </row>
    <row r="51" spans="4:6" x14ac:dyDescent="0.45">
      <c r="D51" s="1"/>
      <c r="E51" s="1"/>
      <c r="F51" s="1"/>
    </row>
    <row r="52" spans="4:6" x14ac:dyDescent="0.45">
      <c r="D52" s="1"/>
      <c r="E52" s="1"/>
      <c r="F52" s="1"/>
    </row>
    <row r="53" spans="4:6" x14ac:dyDescent="0.45"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B88-8716-49D9-B89E-62EB046F50C3}">
  <dimension ref="A1:N53"/>
  <sheetViews>
    <sheetView zoomScale="115" zoomScaleNormal="115" workbookViewId="0">
      <selection activeCell="B2" sqref="B2:B17"/>
    </sheetView>
  </sheetViews>
  <sheetFormatPr defaultRowHeight="14.25" x14ac:dyDescent="0.45"/>
  <cols>
    <col min="1" max="1" width="18.86328125" bestFit="1" customWidth="1"/>
    <col min="2" max="2" width="31.265625" bestFit="1" customWidth="1"/>
    <col min="5" max="5" width="8.19921875" bestFit="1" customWidth="1"/>
    <col min="6" max="8" width="9.1328125" hidden="1" customWidth="1"/>
  </cols>
  <sheetData>
    <row r="1" spans="1:14" x14ac:dyDescent="0.45">
      <c r="A1" t="s">
        <v>0</v>
      </c>
      <c r="B1" s="5" t="s">
        <v>1</v>
      </c>
      <c r="E1" t="s">
        <v>13</v>
      </c>
      <c r="F1" t="s">
        <v>11</v>
      </c>
      <c r="G1" t="s">
        <v>12</v>
      </c>
      <c r="H1" t="s">
        <v>13</v>
      </c>
      <c r="I1" t="s">
        <v>2</v>
      </c>
      <c r="L1" t="s">
        <v>11</v>
      </c>
      <c r="M1" t="s">
        <v>12</v>
      </c>
      <c r="N1" t="s">
        <v>13</v>
      </c>
    </row>
    <row r="2" spans="1:14" x14ac:dyDescent="0.45">
      <c r="A2" s="6" t="s">
        <v>3</v>
      </c>
      <c r="B2" s="5" t="s">
        <v>4</v>
      </c>
      <c r="E2" s="2">
        <v>0.93200000000000005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  <c r="L2" s="2">
        <v>0.92900000000000005</v>
      </c>
      <c r="M2" s="2">
        <v>0.64600000000000002</v>
      </c>
      <c r="N2" s="2">
        <v>0.93200000000000005</v>
      </c>
    </row>
    <row r="3" spans="1:14" x14ac:dyDescent="0.45">
      <c r="A3" s="6"/>
      <c r="B3" s="5" t="s">
        <v>5</v>
      </c>
      <c r="E3" s="2">
        <v>0.95399999999999996</v>
      </c>
      <c r="F3" s="2">
        <v>0.93500000000000005</v>
      </c>
      <c r="G3" s="2">
        <v>0.64500000000000002</v>
      </c>
      <c r="H3" s="2">
        <v>0.95399999999999996</v>
      </c>
      <c r="I3" s="1">
        <f>2530.86/60</f>
        <v>42.181000000000004</v>
      </c>
      <c r="L3" s="2">
        <v>0.93500000000000005</v>
      </c>
      <c r="M3" s="2">
        <v>0.64500000000000002</v>
      </c>
      <c r="N3" s="2">
        <v>0.95399999999999996</v>
      </c>
    </row>
    <row r="4" spans="1:14" x14ac:dyDescent="0.45">
      <c r="A4" s="6"/>
      <c r="B4" s="5" t="s">
        <v>6</v>
      </c>
      <c r="E4" s="2">
        <v>0.92600000000000005</v>
      </c>
      <c r="F4" s="2">
        <v>0.93899999999999995</v>
      </c>
      <c r="G4" s="2">
        <v>0.63600000000000001</v>
      </c>
      <c r="H4" s="2">
        <v>0.92600000000000005</v>
      </c>
      <c r="I4" s="1">
        <f>1527.3/60</f>
        <v>25.454999999999998</v>
      </c>
      <c r="L4" s="2">
        <v>0.93899999999999995</v>
      </c>
      <c r="M4" s="2">
        <v>0.63600000000000001</v>
      </c>
      <c r="N4" s="2">
        <v>0.92600000000000005</v>
      </c>
    </row>
    <row r="5" spans="1:14" ht="14.65" thickBot="1" x14ac:dyDescent="0.5">
      <c r="A5" s="6"/>
      <c r="B5" s="5" t="s">
        <v>19</v>
      </c>
      <c r="E5" s="2">
        <f>AVERAGE(E2:E4)</f>
        <v>0.93733333333333346</v>
      </c>
      <c r="F5" s="2">
        <f>AVERAGE(F2:F4)</f>
        <v>0.93433333333333335</v>
      </c>
      <c r="G5" s="2">
        <f>AVERAGE(G2:G4)</f>
        <v>0.64233333333333331</v>
      </c>
      <c r="H5" s="2">
        <f>AVERAGE(H2:H4)</f>
        <v>0.93733333333333346</v>
      </c>
      <c r="I5" s="1">
        <f>1708.59/60</f>
        <v>28.476499999999998</v>
      </c>
      <c r="L5" s="2">
        <f>AVERAGE(L2:L4)</f>
        <v>0.93433333333333335</v>
      </c>
      <c r="M5" s="2">
        <f>AVERAGE(M2:M4)</f>
        <v>0.64233333333333331</v>
      </c>
      <c r="N5" s="2">
        <f>AVERAGE(N2:N4)</f>
        <v>0.93733333333333346</v>
      </c>
    </row>
    <row r="6" spans="1:14" ht="14.65" thickBot="1" x14ac:dyDescent="0.5">
      <c r="A6" s="6" t="s">
        <v>7</v>
      </c>
      <c r="B6" s="5" t="s">
        <v>16</v>
      </c>
      <c r="E6" s="3">
        <v>0.90400000000000003</v>
      </c>
      <c r="F6" s="3">
        <v>0.90200000000000002</v>
      </c>
      <c r="G6" s="3">
        <v>0.67300000000000004</v>
      </c>
      <c r="H6" s="3">
        <v>0.90400000000000003</v>
      </c>
      <c r="I6" s="1">
        <f>5605.93/60</f>
        <v>93.432166666666674</v>
      </c>
      <c r="L6" s="3">
        <v>0.90200000000000002</v>
      </c>
      <c r="M6" s="3">
        <v>0.67300000000000004</v>
      </c>
      <c r="N6" s="3">
        <v>0.90400000000000003</v>
      </c>
    </row>
    <row r="7" spans="1:14" ht="14.65" thickBot="1" x14ac:dyDescent="0.5">
      <c r="A7" s="6"/>
      <c r="B7" s="5" t="s">
        <v>17</v>
      </c>
      <c r="E7" s="3">
        <v>0.93300000000000005</v>
      </c>
      <c r="F7" s="3">
        <v>0.90900000000000003</v>
      </c>
      <c r="G7" s="3">
        <v>0.65900000000000003</v>
      </c>
      <c r="H7" s="3">
        <v>0.93300000000000005</v>
      </c>
      <c r="I7" s="1">
        <f>5296.23/60</f>
        <v>88.270499999999998</v>
      </c>
      <c r="L7" s="3">
        <v>0.90900000000000003</v>
      </c>
      <c r="M7" s="3">
        <v>0.65900000000000003</v>
      </c>
      <c r="N7" s="3">
        <v>0.93300000000000005</v>
      </c>
    </row>
    <row r="8" spans="1:14" ht="14.65" thickBot="1" x14ac:dyDescent="0.5">
      <c r="A8" s="6"/>
      <c r="B8" s="5" t="s">
        <v>18</v>
      </c>
      <c r="E8" s="3">
        <v>0.93300000000000005</v>
      </c>
      <c r="F8" s="3">
        <v>0.90900000000000003</v>
      </c>
      <c r="G8" s="3">
        <v>0.66</v>
      </c>
      <c r="H8" s="3">
        <v>0.93300000000000005</v>
      </c>
      <c r="I8" s="1">
        <f>6854.59/60</f>
        <v>114.24316666666667</v>
      </c>
      <c r="L8" s="3">
        <v>0.90900000000000003</v>
      </c>
      <c r="M8" s="3">
        <v>0.66</v>
      </c>
      <c r="N8" s="3">
        <v>0.93300000000000005</v>
      </c>
    </row>
    <row r="9" spans="1:14" ht="14.65" thickBot="1" x14ac:dyDescent="0.5">
      <c r="A9" s="6"/>
      <c r="B9" s="5" t="s">
        <v>20</v>
      </c>
      <c r="E9" s="2">
        <f t="shared" ref="E9" si="0">AVERAGE(E6:E8)</f>
        <v>0.92333333333333345</v>
      </c>
      <c r="F9" s="2">
        <f t="shared" ref="F9:H9" si="1">AVERAGE(F6:F8)</f>
        <v>0.90666666666666662</v>
      </c>
      <c r="G9" s="2">
        <f t="shared" si="1"/>
        <v>0.66400000000000003</v>
      </c>
      <c r="H9" s="2">
        <f t="shared" si="1"/>
        <v>0.92333333333333345</v>
      </c>
      <c r="I9" s="1">
        <f>5918.92/60</f>
        <v>98.648666666666671</v>
      </c>
      <c r="L9" s="2">
        <f t="shared" ref="L9:N9" si="2">AVERAGE(L6:L8)</f>
        <v>0.90666666666666662</v>
      </c>
      <c r="M9" s="2">
        <f t="shared" si="2"/>
        <v>0.66400000000000003</v>
      </c>
      <c r="N9" s="2">
        <f t="shared" si="2"/>
        <v>0.92333333333333345</v>
      </c>
    </row>
    <row r="10" spans="1:14" ht="15.4" customHeight="1" thickBot="1" x14ac:dyDescent="0.5">
      <c r="A10" s="6" t="s">
        <v>8</v>
      </c>
      <c r="B10" s="5" t="s">
        <v>21</v>
      </c>
      <c r="E10" s="3">
        <v>0.88700000000000001</v>
      </c>
      <c r="F10" s="3">
        <v>0.80900000000000005</v>
      </c>
      <c r="G10" s="3">
        <v>0.60799999999999998</v>
      </c>
      <c r="H10" s="3">
        <v>0.88700000000000001</v>
      </c>
      <c r="I10" s="1">
        <f>25.65/60</f>
        <v>0.42749999999999999</v>
      </c>
      <c r="L10" s="3">
        <v>0.80900000000000005</v>
      </c>
      <c r="M10" s="3">
        <v>0.60799999999999998</v>
      </c>
      <c r="N10" s="3">
        <v>0.88700000000000001</v>
      </c>
    </row>
    <row r="11" spans="1:14" ht="14.65" thickBot="1" x14ac:dyDescent="0.5">
      <c r="A11" s="6"/>
      <c r="B11" s="5" t="s">
        <v>22</v>
      </c>
      <c r="E11" s="3">
        <v>0.876</v>
      </c>
      <c r="F11" s="3">
        <v>0.73899999999999999</v>
      </c>
      <c r="G11" s="3">
        <v>0.54</v>
      </c>
      <c r="H11" s="3">
        <v>0.876</v>
      </c>
      <c r="I11" s="1">
        <f>24.52/60</f>
        <v>0.40866666666666668</v>
      </c>
      <c r="L11" s="3">
        <v>0.73899999999999999</v>
      </c>
      <c r="M11" s="3">
        <v>0.54</v>
      </c>
      <c r="N11" s="3">
        <v>0.876</v>
      </c>
    </row>
    <row r="12" spans="1:14" ht="14.65" thickBot="1" x14ac:dyDescent="0.5">
      <c r="A12" s="6"/>
      <c r="B12" s="5" t="s">
        <v>23</v>
      </c>
      <c r="E12" s="3">
        <v>0.57899999999999996</v>
      </c>
      <c r="F12" s="3">
        <v>0.71399999999999997</v>
      </c>
      <c r="G12" s="3">
        <v>0.61099999999999999</v>
      </c>
      <c r="H12" s="3">
        <v>0.57899999999999996</v>
      </c>
      <c r="I12" s="1">
        <f>24.1/60</f>
        <v>0.40166666666666667</v>
      </c>
      <c r="L12" s="3">
        <v>0.71399999999999997</v>
      </c>
      <c r="M12" s="3">
        <v>0.61099999999999999</v>
      </c>
      <c r="N12" s="3">
        <v>0.57899999999999996</v>
      </c>
    </row>
    <row r="13" spans="1:14" ht="14.65" thickBot="1" x14ac:dyDescent="0.5">
      <c r="A13" s="6"/>
      <c r="B13" s="5" t="s">
        <v>14</v>
      </c>
      <c r="E13" s="2">
        <f t="shared" ref="E13" si="3">AVERAGE(E10:E12)</f>
        <v>0.78066666666666651</v>
      </c>
      <c r="F13" s="2">
        <f t="shared" ref="F13:H13" si="4">AVERAGE(F10:F12)</f>
        <v>0.754</v>
      </c>
      <c r="G13" s="2">
        <f t="shared" si="4"/>
        <v>0.58633333333333337</v>
      </c>
      <c r="H13" s="2">
        <f t="shared" si="4"/>
        <v>0.78066666666666651</v>
      </c>
      <c r="I13" s="1">
        <f>24.75/60</f>
        <v>0.41249999999999998</v>
      </c>
      <c r="L13" s="2">
        <f t="shared" ref="L13:N13" si="5">AVERAGE(L10:L12)</f>
        <v>0.754</v>
      </c>
      <c r="M13" s="2">
        <f t="shared" si="5"/>
        <v>0.58633333333333337</v>
      </c>
      <c r="N13" s="2">
        <f t="shared" si="5"/>
        <v>0.78066666666666651</v>
      </c>
    </row>
    <row r="14" spans="1:14" ht="14.65" thickBot="1" x14ac:dyDescent="0.5">
      <c r="A14" s="6" t="s">
        <v>9</v>
      </c>
      <c r="B14" s="5" t="s">
        <v>24</v>
      </c>
      <c r="E14" s="3">
        <v>0.90600000000000003</v>
      </c>
      <c r="F14" s="3">
        <v>0.80900000000000005</v>
      </c>
      <c r="G14" s="3">
        <v>0.60699999999999998</v>
      </c>
      <c r="H14" s="3">
        <v>0.90600000000000003</v>
      </c>
      <c r="I14" s="1">
        <f>74.3/60</f>
        <v>1.2383333333333333</v>
      </c>
      <c r="L14" s="3">
        <v>0.80900000000000005</v>
      </c>
      <c r="M14" s="3">
        <v>0.60699999999999998</v>
      </c>
      <c r="N14" s="3">
        <v>0.90600000000000003</v>
      </c>
    </row>
    <row r="15" spans="1:14" ht="14.65" thickBot="1" x14ac:dyDescent="0.5">
      <c r="A15" s="6"/>
      <c r="B15" s="5" t="s">
        <v>25</v>
      </c>
      <c r="E15" s="3">
        <v>0.90800000000000003</v>
      </c>
      <c r="F15" s="3">
        <v>0.76100000000000001</v>
      </c>
      <c r="G15" s="3">
        <v>0.53700000000000003</v>
      </c>
      <c r="H15" s="3">
        <v>0.90800000000000003</v>
      </c>
      <c r="I15" s="1">
        <f>44.42/60</f>
        <v>0.7403333333333334</v>
      </c>
      <c r="L15" s="3">
        <v>0.76100000000000001</v>
      </c>
      <c r="M15" s="3">
        <v>0.53700000000000003</v>
      </c>
      <c r="N15" s="3">
        <v>0.90800000000000003</v>
      </c>
    </row>
    <row r="16" spans="1:14" ht="14.65" thickBot="1" x14ac:dyDescent="0.5">
      <c r="A16" s="6"/>
      <c r="B16" s="5" t="s">
        <v>26</v>
      </c>
      <c r="E16" s="3">
        <v>0.60399999999999998</v>
      </c>
      <c r="F16" s="3">
        <v>0.72499999999999998</v>
      </c>
      <c r="G16" s="3">
        <v>0.624</v>
      </c>
      <c r="H16" s="3">
        <v>0.60399999999999998</v>
      </c>
      <c r="I16" s="1">
        <f>74.33/60</f>
        <v>1.2388333333333332</v>
      </c>
      <c r="L16" s="3">
        <v>0.72499999999999998</v>
      </c>
      <c r="M16" s="3">
        <v>0.624</v>
      </c>
      <c r="N16" s="3">
        <v>0.60399999999999998</v>
      </c>
    </row>
    <row r="17" spans="1:14" x14ac:dyDescent="0.45">
      <c r="A17" s="6"/>
      <c r="B17" s="5" t="s">
        <v>15</v>
      </c>
      <c r="E17" s="2">
        <f t="shared" ref="E17" si="6">AVERAGE(E14:E16)</f>
        <v>0.80600000000000005</v>
      </c>
      <c r="F17" s="2">
        <f t="shared" ref="F17:H17" si="7">AVERAGE(F14:F16)</f>
        <v>0.76500000000000001</v>
      </c>
      <c r="G17" s="2">
        <f t="shared" si="7"/>
        <v>0.58933333333333338</v>
      </c>
      <c r="H17" s="2">
        <f t="shared" si="7"/>
        <v>0.80600000000000005</v>
      </c>
      <c r="I17" s="1">
        <f>64.35/60</f>
        <v>1.0725</v>
      </c>
      <c r="L17" s="2">
        <f t="shared" ref="L17:N17" si="8">AVERAGE(L14:L16)</f>
        <v>0.76500000000000001</v>
      </c>
      <c r="M17" s="2">
        <f t="shared" si="8"/>
        <v>0.58933333333333338</v>
      </c>
      <c r="N17" s="2">
        <f t="shared" si="8"/>
        <v>0.80600000000000005</v>
      </c>
    </row>
    <row r="18" spans="1:14" ht="23.25" customHeight="1" x14ac:dyDescent="0.45">
      <c r="B18" s="5"/>
    </row>
    <row r="19" spans="1:14" x14ac:dyDescent="0.45">
      <c r="B19" s="5"/>
    </row>
    <row r="20" spans="1:14" x14ac:dyDescent="0.45">
      <c r="B20" s="5"/>
    </row>
    <row r="21" spans="1:14" x14ac:dyDescent="0.45">
      <c r="B21" s="5"/>
    </row>
    <row r="22" spans="1:14" x14ac:dyDescent="0.45">
      <c r="B22" s="5"/>
    </row>
    <row r="23" spans="1:14" x14ac:dyDescent="0.45">
      <c r="B23" s="5"/>
    </row>
    <row r="24" spans="1:14" x14ac:dyDescent="0.45">
      <c r="B24" s="5"/>
    </row>
    <row r="25" spans="1:14" x14ac:dyDescent="0.45">
      <c r="B25" s="5"/>
    </row>
    <row r="26" spans="1:14" x14ac:dyDescent="0.45">
      <c r="B26" s="5"/>
    </row>
    <row r="27" spans="1:14" x14ac:dyDescent="0.45">
      <c r="B27" s="5"/>
    </row>
    <row r="28" spans="1:14" x14ac:dyDescent="0.45">
      <c r="B28" s="5"/>
    </row>
    <row r="29" spans="1:14" x14ac:dyDescent="0.45">
      <c r="B29" s="5"/>
    </row>
    <row r="30" spans="1:14" x14ac:dyDescent="0.45">
      <c r="B30" s="5"/>
    </row>
    <row r="31" spans="1:14" x14ac:dyDescent="0.45">
      <c r="B31" s="5"/>
    </row>
    <row r="32" spans="1:14" x14ac:dyDescent="0.45">
      <c r="B32" s="5"/>
    </row>
    <row r="33" spans="2:6" x14ac:dyDescent="0.45">
      <c r="B33" s="5"/>
    </row>
    <row r="34" spans="2:6" x14ac:dyDescent="0.45">
      <c r="B34" s="5"/>
    </row>
    <row r="35" spans="2:6" x14ac:dyDescent="0.45">
      <c r="B35" s="5"/>
    </row>
    <row r="36" spans="2:6" x14ac:dyDescent="0.45">
      <c r="B36" s="5"/>
    </row>
    <row r="37" spans="2:6" x14ac:dyDescent="0.45">
      <c r="B37" s="5"/>
    </row>
    <row r="38" spans="2:6" x14ac:dyDescent="0.45">
      <c r="B38" s="5"/>
      <c r="D38" s="1"/>
      <c r="E38" s="1"/>
      <c r="F38" s="1"/>
    </row>
    <row r="39" spans="2:6" x14ac:dyDescent="0.45">
      <c r="B39" s="5"/>
      <c r="D39" s="1"/>
      <c r="E39" s="1"/>
      <c r="F39" s="1"/>
    </row>
    <row r="40" spans="2:6" x14ac:dyDescent="0.45">
      <c r="B40" s="5"/>
      <c r="D40" s="1"/>
      <c r="E40" s="1"/>
      <c r="F40" s="1"/>
    </row>
    <row r="41" spans="2:6" x14ac:dyDescent="0.45">
      <c r="B41" s="5"/>
      <c r="D41" s="1"/>
      <c r="E41" s="1"/>
      <c r="F41" s="1"/>
    </row>
    <row r="42" spans="2:6" x14ac:dyDescent="0.45">
      <c r="B42" s="5"/>
      <c r="D42" s="1"/>
      <c r="E42" s="1"/>
      <c r="F42" s="1"/>
    </row>
    <row r="43" spans="2:6" x14ac:dyDescent="0.45">
      <c r="B43" s="5"/>
      <c r="D43" s="1"/>
      <c r="E43" s="1"/>
      <c r="F43" s="1"/>
    </row>
    <row r="44" spans="2:6" x14ac:dyDescent="0.45">
      <c r="B44" s="5"/>
      <c r="D44" s="1"/>
      <c r="E44" s="1"/>
      <c r="F44" s="1"/>
    </row>
    <row r="45" spans="2:6" x14ac:dyDescent="0.45">
      <c r="B45" s="5"/>
      <c r="D45" s="1"/>
      <c r="E45" s="1"/>
      <c r="F45" s="1"/>
    </row>
    <row r="46" spans="2:6" x14ac:dyDescent="0.45">
      <c r="B46" s="5"/>
      <c r="D46" s="1"/>
      <c r="E46" s="1"/>
      <c r="F46" s="1"/>
    </row>
    <row r="47" spans="2:6" x14ac:dyDescent="0.45">
      <c r="B47" s="5"/>
      <c r="D47" s="1"/>
      <c r="E47" s="1"/>
      <c r="F47" s="1"/>
    </row>
    <row r="48" spans="2:6" x14ac:dyDescent="0.45">
      <c r="B48" s="5"/>
      <c r="D48" s="1"/>
      <c r="E48" s="1"/>
      <c r="F48" s="1"/>
    </row>
    <row r="49" spans="2:6" x14ac:dyDescent="0.45">
      <c r="B49" s="5"/>
      <c r="D49" s="1"/>
      <c r="E49" s="1"/>
      <c r="F49" s="1"/>
    </row>
    <row r="50" spans="2:6" x14ac:dyDescent="0.45">
      <c r="B50" s="5"/>
      <c r="D50" s="1"/>
      <c r="E50" s="1"/>
      <c r="F50" s="1"/>
    </row>
    <row r="51" spans="2:6" x14ac:dyDescent="0.45">
      <c r="B51" s="5"/>
      <c r="D51" s="1"/>
      <c r="E51" s="1"/>
      <c r="F51" s="1"/>
    </row>
    <row r="52" spans="2:6" x14ac:dyDescent="0.45">
      <c r="B52" s="5"/>
      <c r="D52" s="1"/>
      <c r="E52" s="1"/>
      <c r="F52" s="1"/>
    </row>
    <row r="53" spans="2:6" x14ac:dyDescent="0.45">
      <c r="B53" s="5"/>
      <c r="D53" s="1"/>
      <c r="E53" s="1"/>
      <c r="F53" s="1"/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9075-7427-454F-B427-8C5CE3C23A45}">
  <dimension ref="A1:I11"/>
  <sheetViews>
    <sheetView zoomScale="115" zoomScaleNormal="115" workbookViewId="0">
      <selection activeCell="D6" sqref="D6"/>
    </sheetView>
  </sheetViews>
  <sheetFormatPr defaultRowHeight="14.25" x14ac:dyDescent="0.45"/>
  <cols>
    <col min="4" max="4" width="17.6640625" bestFit="1" customWidth="1"/>
  </cols>
  <sheetData>
    <row r="1" spans="1:9" x14ac:dyDescent="0.45">
      <c r="A1" t="s">
        <v>0</v>
      </c>
      <c r="B1" s="5" t="s">
        <v>1</v>
      </c>
      <c r="E1" t="s">
        <v>13</v>
      </c>
      <c r="F1" t="s">
        <v>11</v>
      </c>
      <c r="G1" t="s">
        <v>12</v>
      </c>
      <c r="H1" t="s">
        <v>13</v>
      </c>
      <c r="I1" t="s">
        <v>2</v>
      </c>
    </row>
    <row r="2" spans="1:9" ht="14.65" thickBot="1" x14ac:dyDescent="0.5">
      <c r="A2" s="4" t="s">
        <v>3</v>
      </c>
      <c r="B2" s="5"/>
      <c r="D2" t="s">
        <v>27</v>
      </c>
      <c r="E2" s="2">
        <v>0.93200000000000005</v>
      </c>
      <c r="F2" s="2">
        <v>0.92900000000000005</v>
      </c>
      <c r="G2" s="2">
        <v>0.64600000000000002</v>
      </c>
      <c r="H2" s="2">
        <v>0.93200000000000005</v>
      </c>
      <c r="I2" s="1">
        <f>1542.95/60</f>
        <v>25.715833333333332</v>
      </c>
    </row>
    <row r="3" spans="1:9" ht="14.65" thickBot="1" x14ac:dyDescent="0.5">
      <c r="A3" s="4" t="s">
        <v>7</v>
      </c>
      <c r="B3" s="5"/>
      <c r="D3" t="s">
        <v>28</v>
      </c>
      <c r="E3" s="3">
        <v>0.90400000000000003</v>
      </c>
      <c r="F3" s="3">
        <v>0.90200000000000002</v>
      </c>
      <c r="G3" s="3">
        <v>0.67300000000000004</v>
      </c>
      <c r="H3" s="3">
        <v>0.90400000000000003</v>
      </c>
      <c r="I3" s="1">
        <f>5605.93/60</f>
        <v>93.432166666666674</v>
      </c>
    </row>
    <row r="4" spans="1:9" ht="14.65" thickBot="1" x14ac:dyDescent="0.5">
      <c r="A4" s="6" t="s">
        <v>8</v>
      </c>
      <c r="B4" s="5"/>
      <c r="D4" t="s">
        <v>30</v>
      </c>
      <c r="E4" s="3">
        <v>0.88700000000000001</v>
      </c>
      <c r="F4" s="3">
        <v>0.80900000000000005</v>
      </c>
      <c r="G4" s="3">
        <v>0.60799999999999998</v>
      </c>
      <c r="H4" s="3">
        <v>0.88700000000000001</v>
      </c>
      <c r="I4" s="1">
        <f>25.65/60</f>
        <v>0.42749999999999999</v>
      </c>
    </row>
    <row r="5" spans="1:9" ht="14.65" thickBot="1" x14ac:dyDescent="0.5">
      <c r="A5" s="6"/>
      <c r="B5" s="5"/>
      <c r="D5" t="s">
        <v>31</v>
      </c>
      <c r="E5" s="3">
        <v>0.876</v>
      </c>
      <c r="F5" s="3">
        <v>0.73899999999999999</v>
      </c>
      <c r="G5" s="3">
        <v>0.54</v>
      </c>
      <c r="H5" s="3">
        <v>0.876</v>
      </c>
      <c r="I5" s="1">
        <f>24.52/60</f>
        <v>0.40866666666666668</v>
      </c>
    </row>
    <row r="6" spans="1:9" ht="14.65" thickBot="1" x14ac:dyDescent="0.5">
      <c r="A6" s="6"/>
      <c r="B6" s="5"/>
      <c r="E6" s="3">
        <v>0.57899999999999996</v>
      </c>
      <c r="F6" s="3">
        <v>0.71399999999999997</v>
      </c>
      <c r="G6" s="3">
        <v>0.61099999999999999</v>
      </c>
      <c r="H6" s="3">
        <v>0.57899999999999996</v>
      </c>
      <c r="I6" s="1">
        <f>24.1/60</f>
        <v>0.40166666666666667</v>
      </c>
    </row>
    <row r="7" spans="1:9" ht="14.65" thickBot="1" x14ac:dyDescent="0.5">
      <c r="A7" s="6"/>
      <c r="B7" s="5"/>
      <c r="E7" s="2">
        <f t="shared" ref="E7:H7" si="0">AVERAGE(E4:E6)</f>
        <v>0.78066666666666651</v>
      </c>
      <c r="F7" s="2">
        <f t="shared" si="0"/>
        <v>0.754</v>
      </c>
      <c r="G7" s="2">
        <f t="shared" si="0"/>
        <v>0.58633333333333337</v>
      </c>
      <c r="H7" s="2">
        <f t="shared" si="0"/>
        <v>0.78066666666666651</v>
      </c>
      <c r="I7" s="1">
        <f>24.75/60</f>
        <v>0.41249999999999998</v>
      </c>
    </row>
    <row r="8" spans="1:9" ht="14.65" thickBot="1" x14ac:dyDescent="0.5">
      <c r="A8" s="6" t="s">
        <v>9</v>
      </c>
      <c r="B8" s="5"/>
      <c r="D8" t="s">
        <v>9</v>
      </c>
      <c r="E8" s="3">
        <v>0.90600000000000003</v>
      </c>
      <c r="F8" s="3">
        <v>0.80900000000000005</v>
      </c>
      <c r="G8" s="3">
        <v>0.60699999999999998</v>
      </c>
      <c r="H8" s="3">
        <v>0.90600000000000003</v>
      </c>
      <c r="I8" s="1">
        <f>74.3/60</f>
        <v>1.2383333333333333</v>
      </c>
    </row>
    <row r="9" spans="1:9" ht="14.65" thickBot="1" x14ac:dyDescent="0.5">
      <c r="A9" s="6"/>
      <c r="B9" s="5"/>
      <c r="E9" s="3">
        <v>0.90800000000000003</v>
      </c>
      <c r="F9" s="3">
        <v>0.76100000000000001</v>
      </c>
      <c r="G9" s="3">
        <v>0.53700000000000003</v>
      </c>
      <c r="H9" s="3">
        <v>0.90800000000000003</v>
      </c>
      <c r="I9" s="1">
        <f>44.42/60</f>
        <v>0.7403333333333334</v>
      </c>
    </row>
    <row r="10" spans="1:9" ht="14.65" thickBot="1" x14ac:dyDescent="0.5">
      <c r="A10" s="6"/>
      <c r="B10" s="5"/>
      <c r="E10" s="3">
        <v>0.60399999999999998</v>
      </c>
      <c r="F10" s="3">
        <v>0.72499999999999998</v>
      </c>
      <c r="G10" s="3">
        <v>0.624</v>
      </c>
      <c r="H10" s="3">
        <v>0.60399999999999998</v>
      </c>
      <c r="I10" s="1">
        <f>74.33/60</f>
        <v>1.2388333333333332</v>
      </c>
    </row>
    <row r="11" spans="1:9" x14ac:dyDescent="0.45">
      <c r="A11" s="6"/>
      <c r="B11" s="5"/>
      <c r="E11" s="2">
        <f t="shared" ref="E11:H11" si="1">AVERAGE(E8:E10)</f>
        <v>0.80600000000000005</v>
      </c>
      <c r="F11" s="2">
        <f t="shared" si="1"/>
        <v>0.76500000000000001</v>
      </c>
      <c r="G11" s="2">
        <f t="shared" si="1"/>
        <v>0.58933333333333338</v>
      </c>
      <c r="H11" s="2">
        <f t="shared" si="1"/>
        <v>0.80600000000000005</v>
      </c>
      <c r="I11" s="1">
        <f>64.35/60</f>
        <v>1.0725</v>
      </c>
    </row>
  </sheetData>
  <mergeCells count="2">
    <mergeCell ref="A4:A7"/>
    <mergeCell ref="A8:A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auc_hr</vt:lpstr>
      <vt:lpstr>legenda_hr</vt:lpstr>
      <vt:lpstr>acc_hr</vt:lpstr>
      <vt:lpstr>acc</vt:lpstr>
      <vt:lpstr>auc2</vt:lpstr>
      <vt:lpstr>precision2</vt:lpstr>
      <vt:lpstr>recall2</vt:lpstr>
      <vt:lpstr>auc</vt:lpstr>
      <vt:lpstr>precision</vt:lpstr>
      <vt:lpstr>recall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Terzic</dc:creator>
  <cp:lastModifiedBy>Ivan Terzić</cp:lastModifiedBy>
  <dcterms:created xsi:type="dcterms:W3CDTF">2015-06-05T18:17:20Z</dcterms:created>
  <dcterms:modified xsi:type="dcterms:W3CDTF">2025-04-07T13:17:38Z</dcterms:modified>
</cp:coreProperties>
</file>